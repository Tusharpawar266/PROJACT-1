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esktop\"/>
    </mc:Choice>
  </mc:AlternateContent>
  <bookViews>
    <workbookView minimized="1" xWindow="0" yWindow="0" windowWidth="12900" windowHeight="8235" firstSheet="1" activeTab="2"/>
  </bookViews>
  <sheets>
    <sheet name="SALES DATA" sheetId="1" r:id="rId1"/>
    <sheet name="PURCHASE DATA" sheetId="2" r:id="rId2"/>
    <sheet name="Sheet4" sheetId="6" r:id="rId3"/>
    <sheet name="power query" sheetId="5" r:id="rId4"/>
  </sheets>
  <definedNames>
    <definedName name="ExternalData_1" localSheetId="3" hidden="1">'power query'!$A$1:$I$717</definedName>
    <definedName name="Slicer_customer">#N/A</definedName>
    <definedName name="Slicer_Months">#N/A</definedName>
    <definedName name="Slicer_transaction_type">#N/A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2" l="1"/>
  <c r="G2" i="2" s="1"/>
  <c r="H3" i="2"/>
  <c r="G3" i="2" s="1"/>
  <c r="H4" i="2"/>
  <c r="G4" i="2" s="1"/>
  <c r="H5" i="2"/>
  <c r="G5" i="2" s="1"/>
  <c r="H6" i="2"/>
  <c r="G6" i="2" s="1"/>
  <c r="H7" i="2"/>
  <c r="G7" i="2" s="1"/>
  <c r="H8" i="2"/>
  <c r="G8" i="2" s="1"/>
  <c r="H9" i="2"/>
  <c r="G9" i="2" s="1"/>
  <c r="H10" i="2"/>
  <c r="G10" i="2" s="1"/>
  <c r="H11" i="2"/>
  <c r="G11" i="2" s="1"/>
  <c r="H12" i="2"/>
  <c r="G12" i="2" s="1"/>
  <c r="H13" i="2"/>
  <c r="G13" i="2" s="1"/>
  <c r="H14" i="2"/>
  <c r="G14" i="2" s="1"/>
  <c r="H15" i="2"/>
  <c r="G15" i="2" s="1"/>
  <c r="H16" i="2"/>
  <c r="G16" i="2" s="1"/>
  <c r="H17" i="2"/>
  <c r="G17" i="2" s="1"/>
  <c r="H18" i="2"/>
  <c r="G18" i="2" s="1"/>
  <c r="H19" i="2"/>
  <c r="G19" i="2" s="1"/>
  <c r="H20" i="2"/>
  <c r="G20" i="2" s="1"/>
  <c r="H21" i="2"/>
  <c r="G21" i="2" s="1"/>
  <c r="H22" i="2"/>
  <c r="G22" i="2" s="1"/>
  <c r="H23" i="2"/>
  <c r="G23" i="2" s="1"/>
  <c r="H24" i="2"/>
  <c r="G24" i="2" s="1"/>
  <c r="H25" i="2"/>
  <c r="G25" i="2" s="1"/>
  <c r="H26" i="2"/>
  <c r="G26" i="2" s="1"/>
  <c r="H27" i="2"/>
  <c r="G27" i="2" s="1"/>
  <c r="H28" i="2"/>
  <c r="G28" i="2" s="1"/>
  <c r="H29" i="2"/>
  <c r="G29" i="2" s="1"/>
  <c r="H30" i="2"/>
  <c r="G30" i="2" s="1"/>
  <c r="H31" i="2"/>
  <c r="G31" i="2" s="1"/>
  <c r="H32" i="2"/>
  <c r="G32" i="2" s="1"/>
  <c r="H33" i="2"/>
  <c r="G33" i="2" s="1"/>
  <c r="H34" i="2"/>
  <c r="G34" i="2" s="1"/>
  <c r="H35" i="2"/>
  <c r="G35" i="2" s="1"/>
  <c r="H36" i="2"/>
  <c r="G36" i="2" s="1"/>
  <c r="H37" i="2"/>
  <c r="G37" i="2" s="1"/>
  <c r="H38" i="2"/>
  <c r="G38" i="2" s="1"/>
  <c r="H39" i="2"/>
  <c r="G39" i="2" s="1"/>
  <c r="H40" i="2"/>
  <c r="G40" i="2" s="1"/>
  <c r="H41" i="2"/>
  <c r="G41" i="2" s="1"/>
  <c r="H42" i="2"/>
  <c r="G42" i="2" s="1"/>
  <c r="H43" i="2"/>
  <c r="G43" i="2" s="1"/>
  <c r="H44" i="2"/>
  <c r="G44" i="2" s="1"/>
  <c r="H45" i="2"/>
  <c r="G45" i="2" s="1"/>
  <c r="H46" i="2"/>
  <c r="G46" i="2" s="1"/>
  <c r="H47" i="2"/>
  <c r="G47" i="2" s="1"/>
  <c r="H48" i="2"/>
  <c r="G48" i="2" s="1"/>
  <c r="H49" i="2"/>
  <c r="G49" i="2" s="1"/>
  <c r="H50" i="2"/>
  <c r="G50" i="2" s="1"/>
  <c r="H51" i="2"/>
  <c r="G51" i="2" s="1"/>
  <c r="H52" i="2"/>
  <c r="G52" i="2" s="1"/>
  <c r="H53" i="2"/>
  <c r="G53" i="2" s="1"/>
  <c r="H54" i="2"/>
  <c r="G54" i="2" s="1"/>
  <c r="H55" i="2"/>
  <c r="G55" i="2" s="1"/>
  <c r="H56" i="2"/>
  <c r="G56" i="2" s="1"/>
  <c r="H57" i="2"/>
  <c r="G57" i="2" s="1"/>
  <c r="H58" i="2"/>
  <c r="G58" i="2" s="1"/>
  <c r="H59" i="2"/>
  <c r="G59" i="2" s="1"/>
  <c r="H60" i="2"/>
  <c r="G60" i="2" s="1"/>
  <c r="H61" i="2"/>
  <c r="G61" i="2" s="1"/>
  <c r="H62" i="2"/>
  <c r="G62" i="2" s="1"/>
  <c r="H63" i="2"/>
  <c r="G63" i="2" s="1"/>
  <c r="H64" i="2"/>
  <c r="G64" i="2" s="1"/>
  <c r="H65" i="2"/>
  <c r="G65" i="2" s="1"/>
  <c r="H66" i="2"/>
  <c r="G66" i="2" s="1"/>
  <c r="H67" i="2"/>
  <c r="G67" i="2" s="1"/>
  <c r="H68" i="2"/>
  <c r="G68" i="2" s="1"/>
  <c r="H69" i="2"/>
  <c r="G69" i="2" s="1"/>
  <c r="H70" i="2"/>
  <c r="G70" i="2" s="1"/>
  <c r="H71" i="2"/>
  <c r="G71" i="2" s="1"/>
  <c r="H72" i="2"/>
  <c r="G72" i="2" s="1"/>
  <c r="H73" i="2"/>
  <c r="G73" i="2" s="1"/>
  <c r="H74" i="2"/>
  <c r="G74" i="2" s="1"/>
  <c r="H75" i="2"/>
  <c r="G75" i="2" s="1"/>
  <c r="H76" i="2"/>
  <c r="G76" i="2" s="1"/>
  <c r="H77" i="2"/>
  <c r="G77" i="2" s="1"/>
  <c r="H78" i="2"/>
  <c r="G78" i="2" s="1"/>
  <c r="H79" i="2"/>
  <c r="G79" i="2" s="1"/>
  <c r="H80" i="2"/>
  <c r="G80" i="2" s="1"/>
  <c r="H81" i="2"/>
  <c r="G81" i="2" s="1"/>
  <c r="H82" i="2"/>
  <c r="G82" i="2" s="1"/>
  <c r="H83" i="2"/>
  <c r="G83" i="2" s="1"/>
  <c r="H84" i="2"/>
  <c r="G84" i="2" s="1"/>
  <c r="H85" i="2"/>
  <c r="G85" i="2" s="1"/>
  <c r="H86" i="2"/>
  <c r="G86" i="2" s="1"/>
  <c r="H4" i="1" l="1"/>
  <c r="G4" i="1" s="1"/>
  <c r="H5" i="1"/>
  <c r="G5" i="1" s="1"/>
  <c r="H6" i="1"/>
  <c r="G6" i="1" s="1"/>
  <c r="H7" i="1"/>
  <c r="G7" i="1" s="1"/>
  <c r="H8" i="1"/>
  <c r="G8" i="1" s="1"/>
  <c r="H9" i="1"/>
  <c r="G9" i="1" s="1"/>
  <c r="H10" i="1"/>
  <c r="G10" i="1" s="1"/>
  <c r="H11" i="1"/>
  <c r="G11" i="1" s="1"/>
  <c r="H12" i="1"/>
  <c r="G12" i="1" s="1"/>
  <c r="H13" i="1"/>
  <c r="G13" i="1" s="1"/>
  <c r="H14" i="1"/>
  <c r="G14" i="1" s="1"/>
  <c r="H15" i="1"/>
  <c r="G15" i="1" s="1"/>
  <c r="H16" i="1"/>
  <c r="G16" i="1" s="1"/>
  <c r="H17" i="1"/>
  <c r="G17" i="1" s="1"/>
  <c r="H18" i="1"/>
  <c r="G18" i="1" s="1"/>
  <c r="H19" i="1"/>
  <c r="G19" i="1" s="1"/>
  <c r="H20" i="1"/>
  <c r="G20" i="1" s="1"/>
  <c r="H21" i="1"/>
  <c r="G21" i="1" s="1"/>
  <c r="H22" i="1"/>
  <c r="G22" i="1" s="1"/>
  <c r="H23" i="1"/>
  <c r="G23" i="1" s="1"/>
  <c r="H24" i="1"/>
  <c r="G24" i="1" s="1"/>
  <c r="H25" i="1"/>
  <c r="G25" i="1" s="1"/>
  <c r="H26" i="1"/>
  <c r="G26" i="1" s="1"/>
  <c r="H27" i="1"/>
  <c r="G27" i="1" s="1"/>
  <c r="H28" i="1"/>
  <c r="G28" i="1" s="1"/>
  <c r="H29" i="1"/>
  <c r="G29" i="1" s="1"/>
  <c r="H30" i="1"/>
  <c r="G30" i="1" s="1"/>
  <c r="H31" i="1"/>
  <c r="G31" i="1" s="1"/>
  <c r="H32" i="1"/>
  <c r="G32" i="1" s="1"/>
  <c r="H33" i="1"/>
  <c r="G33" i="1" s="1"/>
  <c r="H34" i="1"/>
  <c r="G34" i="1" s="1"/>
  <c r="H35" i="1"/>
  <c r="G35" i="1" s="1"/>
  <c r="H36" i="1"/>
  <c r="G36" i="1" s="1"/>
  <c r="H37" i="1"/>
  <c r="G37" i="1" s="1"/>
  <c r="H38" i="1"/>
  <c r="G38" i="1" s="1"/>
  <c r="H39" i="1"/>
  <c r="G39" i="1" s="1"/>
  <c r="H40" i="1"/>
  <c r="G40" i="1" s="1"/>
  <c r="H41" i="1"/>
  <c r="G41" i="1" s="1"/>
  <c r="H42" i="1"/>
  <c r="G42" i="1" s="1"/>
  <c r="H43" i="1"/>
  <c r="G43" i="1" s="1"/>
  <c r="H44" i="1"/>
  <c r="G44" i="1" s="1"/>
  <c r="H45" i="1"/>
  <c r="G45" i="1" s="1"/>
  <c r="H46" i="1"/>
  <c r="G46" i="1" s="1"/>
  <c r="H47" i="1"/>
  <c r="G47" i="1" s="1"/>
  <c r="H48" i="1"/>
  <c r="G48" i="1" s="1"/>
  <c r="H49" i="1"/>
  <c r="G49" i="1" s="1"/>
  <c r="H50" i="1"/>
  <c r="G50" i="1" s="1"/>
  <c r="H51" i="1"/>
  <c r="G51" i="1" s="1"/>
  <c r="H52" i="1"/>
  <c r="G52" i="1" s="1"/>
  <c r="H53" i="1"/>
  <c r="G53" i="1" s="1"/>
  <c r="H54" i="1"/>
  <c r="G54" i="1" s="1"/>
  <c r="H55" i="1"/>
  <c r="G55" i="1" s="1"/>
  <c r="H56" i="1"/>
  <c r="G56" i="1" s="1"/>
  <c r="H57" i="1"/>
  <c r="G57" i="1" s="1"/>
  <c r="H58" i="1"/>
  <c r="G58" i="1" s="1"/>
  <c r="H59" i="1"/>
  <c r="G59" i="1" s="1"/>
  <c r="H60" i="1"/>
  <c r="G60" i="1" s="1"/>
  <c r="H61" i="1"/>
  <c r="G61" i="1" s="1"/>
  <c r="H62" i="1"/>
  <c r="G62" i="1" s="1"/>
  <c r="H63" i="1"/>
  <c r="G63" i="1" s="1"/>
  <c r="H64" i="1"/>
  <c r="G64" i="1" s="1"/>
  <c r="H65" i="1"/>
  <c r="G65" i="1" s="1"/>
  <c r="H66" i="1"/>
  <c r="G66" i="1" s="1"/>
  <c r="H67" i="1"/>
  <c r="G67" i="1" s="1"/>
  <c r="H68" i="1"/>
  <c r="G68" i="1" s="1"/>
  <c r="H69" i="1"/>
  <c r="G69" i="1" s="1"/>
  <c r="H70" i="1"/>
  <c r="G70" i="1" s="1"/>
  <c r="H71" i="1"/>
  <c r="G71" i="1" s="1"/>
  <c r="H72" i="1"/>
  <c r="G72" i="1" s="1"/>
  <c r="H73" i="1"/>
  <c r="G73" i="1" s="1"/>
  <c r="H74" i="1"/>
  <c r="G74" i="1" s="1"/>
  <c r="H75" i="1"/>
  <c r="G75" i="1" s="1"/>
  <c r="H76" i="1"/>
  <c r="G76" i="1" s="1"/>
  <c r="H77" i="1"/>
  <c r="G77" i="1" s="1"/>
  <c r="H78" i="1"/>
  <c r="G78" i="1" s="1"/>
  <c r="H79" i="1"/>
  <c r="G79" i="1" s="1"/>
  <c r="H80" i="1"/>
  <c r="G80" i="1" s="1"/>
  <c r="H81" i="1"/>
  <c r="G81" i="1" s="1"/>
  <c r="H82" i="1"/>
  <c r="G82" i="1" s="1"/>
  <c r="H83" i="1"/>
  <c r="G83" i="1" s="1"/>
  <c r="H84" i="1"/>
  <c r="G84" i="1" s="1"/>
  <c r="H85" i="1"/>
  <c r="G85" i="1" s="1"/>
  <c r="H86" i="1"/>
  <c r="G86" i="1" s="1"/>
  <c r="H87" i="1"/>
  <c r="G87" i="1" s="1"/>
  <c r="H88" i="1"/>
  <c r="G88" i="1" s="1"/>
  <c r="H89" i="1"/>
  <c r="G89" i="1" s="1"/>
  <c r="H90" i="1"/>
  <c r="G90" i="1" s="1"/>
  <c r="H91" i="1"/>
  <c r="G91" i="1" s="1"/>
  <c r="H92" i="1"/>
  <c r="G92" i="1" s="1"/>
  <c r="H93" i="1"/>
  <c r="G93" i="1" s="1"/>
  <c r="H94" i="1"/>
  <c r="G94" i="1" s="1"/>
  <c r="H95" i="1"/>
  <c r="G95" i="1" s="1"/>
  <c r="H96" i="1"/>
  <c r="G96" i="1" s="1"/>
  <c r="H97" i="1"/>
  <c r="G97" i="1" s="1"/>
  <c r="H98" i="1"/>
  <c r="G98" i="1" s="1"/>
  <c r="H99" i="1"/>
  <c r="G99" i="1" s="1"/>
  <c r="H100" i="1"/>
  <c r="G100" i="1" s="1"/>
  <c r="H101" i="1"/>
  <c r="G101" i="1" s="1"/>
  <c r="H102" i="1"/>
  <c r="G102" i="1" s="1"/>
  <c r="H103" i="1"/>
  <c r="G103" i="1" s="1"/>
  <c r="H104" i="1"/>
  <c r="G104" i="1" s="1"/>
  <c r="H105" i="1"/>
  <c r="G105" i="1" s="1"/>
  <c r="H106" i="1"/>
  <c r="G106" i="1" s="1"/>
  <c r="H107" i="1"/>
  <c r="G107" i="1" s="1"/>
  <c r="H108" i="1"/>
  <c r="G108" i="1" s="1"/>
  <c r="H109" i="1"/>
  <c r="G109" i="1" s="1"/>
  <c r="H110" i="1"/>
  <c r="G110" i="1" s="1"/>
  <c r="H111" i="1"/>
  <c r="G111" i="1" s="1"/>
  <c r="H112" i="1"/>
  <c r="G112" i="1" s="1"/>
  <c r="H113" i="1"/>
  <c r="G113" i="1" s="1"/>
  <c r="H114" i="1"/>
  <c r="G114" i="1" s="1"/>
  <c r="H115" i="1"/>
  <c r="G115" i="1" s="1"/>
  <c r="H116" i="1"/>
  <c r="G116" i="1" s="1"/>
  <c r="H117" i="1"/>
  <c r="G117" i="1" s="1"/>
  <c r="H118" i="1"/>
  <c r="G118" i="1" s="1"/>
  <c r="H119" i="1"/>
  <c r="G119" i="1" s="1"/>
  <c r="H120" i="1"/>
  <c r="G120" i="1" s="1"/>
  <c r="H121" i="1"/>
  <c r="G121" i="1" s="1"/>
  <c r="H122" i="1"/>
  <c r="G122" i="1" s="1"/>
  <c r="H123" i="1"/>
  <c r="G123" i="1" s="1"/>
  <c r="H124" i="1"/>
  <c r="G124" i="1" s="1"/>
  <c r="H125" i="1"/>
  <c r="G125" i="1" s="1"/>
  <c r="H126" i="1"/>
  <c r="G126" i="1" s="1"/>
  <c r="H127" i="1"/>
  <c r="G127" i="1" s="1"/>
  <c r="H128" i="1"/>
  <c r="G128" i="1" s="1"/>
  <c r="H129" i="1"/>
  <c r="G129" i="1" s="1"/>
  <c r="H130" i="1"/>
  <c r="G130" i="1" s="1"/>
  <c r="H131" i="1"/>
  <c r="G131" i="1" s="1"/>
  <c r="H132" i="1"/>
  <c r="G132" i="1" s="1"/>
  <c r="H133" i="1"/>
  <c r="G133" i="1" s="1"/>
  <c r="H134" i="1"/>
  <c r="G134" i="1" s="1"/>
  <c r="H135" i="1"/>
  <c r="G135" i="1" s="1"/>
  <c r="H136" i="1"/>
  <c r="G136" i="1" s="1"/>
  <c r="H137" i="1"/>
  <c r="G137" i="1" s="1"/>
  <c r="H138" i="1"/>
  <c r="G138" i="1" s="1"/>
  <c r="H139" i="1"/>
  <c r="G139" i="1" s="1"/>
  <c r="H140" i="1"/>
  <c r="G140" i="1" s="1"/>
  <c r="H141" i="1"/>
  <c r="G141" i="1" s="1"/>
  <c r="H142" i="1"/>
  <c r="G142" i="1" s="1"/>
  <c r="H143" i="1"/>
  <c r="G143" i="1" s="1"/>
  <c r="H144" i="1"/>
  <c r="G144" i="1" s="1"/>
  <c r="H145" i="1"/>
  <c r="G145" i="1" s="1"/>
  <c r="H146" i="1"/>
  <c r="G146" i="1" s="1"/>
  <c r="H147" i="1"/>
  <c r="G147" i="1" s="1"/>
  <c r="H148" i="1"/>
  <c r="G148" i="1" s="1"/>
  <c r="H149" i="1"/>
  <c r="G149" i="1" s="1"/>
  <c r="H150" i="1"/>
  <c r="G150" i="1" s="1"/>
  <c r="H151" i="1"/>
  <c r="G151" i="1" s="1"/>
  <c r="H152" i="1"/>
  <c r="G152" i="1" s="1"/>
  <c r="H153" i="1"/>
  <c r="G153" i="1" s="1"/>
  <c r="H154" i="1"/>
  <c r="G154" i="1" s="1"/>
  <c r="H155" i="1"/>
  <c r="G155" i="1" s="1"/>
  <c r="H156" i="1"/>
  <c r="G156" i="1" s="1"/>
  <c r="H157" i="1"/>
  <c r="G157" i="1" s="1"/>
  <c r="H158" i="1"/>
  <c r="G158" i="1" s="1"/>
  <c r="H159" i="1"/>
  <c r="G159" i="1" s="1"/>
  <c r="H160" i="1"/>
  <c r="G160" i="1" s="1"/>
  <c r="H161" i="1"/>
  <c r="G161" i="1" s="1"/>
  <c r="H162" i="1"/>
  <c r="G162" i="1" s="1"/>
  <c r="H163" i="1"/>
  <c r="G163" i="1" s="1"/>
  <c r="H164" i="1"/>
  <c r="G164" i="1" s="1"/>
  <c r="H165" i="1"/>
  <c r="G165" i="1" s="1"/>
  <c r="H166" i="1"/>
  <c r="G166" i="1" s="1"/>
  <c r="H167" i="1"/>
  <c r="G167" i="1" s="1"/>
  <c r="H168" i="1"/>
  <c r="G168" i="1" s="1"/>
  <c r="H169" i="1"/>
  <c r="G169" i="1" s="1"/>
  <c r="H170" i="1"/>
  <c r="G170" i="1" s="1"/>
  <c r="H171" i="1"/>
  <c r="G171" i="1" s="1"/>
  <c r="H172" i="1"/>
  <c r="G172" i="1" s="1"/>
  <c r="H173" i="1"/>
  <c r="G173" i="1" s="1"/>
  <c r="H174" i="1"/>
  <c r="G174" i="1" s="1"/>
  <c r="H175" i="1"/>
  <c r="G175" i="1" s="1"/>
  <c r="H176" i="1"/>
  <c r="G176" i="1" s="1"/>
  <c r="H177" i="1"/>
  <c r="G177" i="1" s="1"/>
  <c r="H178" i="1"/>
  <c r="G178" i="1" s="1"/>
  <c r="H179" i="1"/>
  <c r="G179" i="1" s="1"/>
  <c r="H180" i="1"/>
  <c r="G180" i="1" s="1"/>
  <c r="H181" i="1"/>
  <c r="G181" i="1" s="1"/>
  <c r="H182" i="1"/>
  <c r="G182" i="1" s="1"/>
  <c r="H183" i="1"/>
  <c r="G183" i="1" s="1"/>
  <c r="H184" i="1"/>
  <c r="G184" i="1" s="1"/>
  <c r="H185" i="1"/>
  <c r="G185" i="1" s="1"/>
  <c r="H186" i="1"/>
  <c r="G186" i="1" s="1"/>
  <c r="H187" i="1"/>
  <c r="G187" i="1" s="1"/>
  <c r="H188" i="1"/>
  <c r="G188" i="1" s="1"/>
  <c r="H189" i="1"/>
  <c r="G189" i="1" s="1"/>
  <c r="H190" i="1"/>
  <c r="G190" i="1" s="1"/>
  <c r="H191" i="1"/>
  <c r="G191" i="1" s="1"/>
  <c r="H192" i="1"/>
  <c r="G192" i="1" s="1"/>
  <c r="H193" i="1"/>
  <c r="G193" i="1" s="1"/>
  <c r="H194" i="1"/>
  <c r="G194" i="1" s="1"/>
  <c r="H195" i="1"/>
  <c r="G195" i="1" s="1"/>
  <c r="H196" i="1"/>
  <c r="G196" i="1" s="1"/>
  <c r="H197" i="1"/>
  <c r="G197" i="1" s="1"/>
  <c r="H198" i="1"/>
  <c r="G198" i="1" s="1"/>
  <c r="H199" i="1"/>
  <c r="G199" i="1" s="1"/>
  <c r="H200" i="1"/>
  <c r="G200" i="1" s="1"/>
  <c r="H201" i="1"/>
  <c r="G201" i="1" s="1"/>
  <c r="H202" i="1"/>
  <c r="G202" i="1" s="1"/>
  <c r="H203" i="1"/>
  <c r="G203" i="1" s="1"/>
  <c r="H204" i="1"/>
  <c r="G204" i="1" s="1"/>
  <c r="H205" i="1"/>
  <c r="G205" i="1" s="1"/>
  <c r="H206" i="1"/>
  <c r="G206" i="1" s="1"/>
  <c r="H207" i="1"/>
  <c r="G207" i="1" s="1"/>
  <c r="H208" i="1"/>
  <c r="G208" i="1" s="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3" i="1"/>
  <c r="G3" i="1" s="1"/>
  <c r="H2" i="1"/>
  <c r="G2" i="1" s="1"/>
  <c r="F209" i="1"/>
  <c r="H209" i="1" s="1"/>
  <c r="G209" i="1" l="1"/>
</calcChain>
</file>

<file path=xl/connections.xml><?xml version="1.0" encoding="utf-8"?>
<connections xmlns="http://schemas.openxmlformats.org/spreadsheetml/2006/main">
  <connection id="1" keepAlive="1" name="Query - Append1" description="Connection to the 'Append1' query in the workbook." type="5" refreshedVersion="6" background="1" saveData="1">
    <dbPr connection="Provider=Microsoft.Mashup.OleDb.1;Data Source=$Workbook$;Location=Append1;Extended Properties=&quot;&quot;" command="SELECT * FROM [Append1]"/>
  </connection>
  <connection id="2" keepAlive="1" name="Query - PURCHASETABLE" description="Connection to the 'PURCHASETABLE' query in the workbook." type="5" refreshedVersion="0" background="1">
    <dbPr connection="Provider=Microsoft.Mashup.OleDb.1;Data Source=$Workbook$;Location=PURCHASETABLE" command="SELECT * FROM [PURCHASETABLE]"/>
  </connection>
  <connection id="3" keepAlive="1" name="Query - SALESTABLE" description="Connection to the 'SALESTABLE' query in the workbook." type="5" refreshedVersion="0" background="1">
    <dbPr connection="Provider=Microsoft.Mashup.OleDb.1;Data Source=$Workbook$;Location=SALESTABLE" command="SELECT * FROM [SALESTABLE]"/>
  </connection>
</connections>
</file>

<file path=xl/sharedStrings.xml><?xml version="1.0" encoding="utf-8"?>
<sst xmlns="http://schemas.openxmlformats.org/spreadsheetml/2006/main" count="3777" uniqueCount="145">
  <si>
    <t>Date</t>
  </si>
  <si>
    <t>Voucher Type</t>
  </si>
  <si>
    <t>Quantity</t>
  </si>
  <si>
    <t>Rate</t>
  </si>
  <si>
    <t>Value</t>
  </si>
  <si>
    <t>Gross Total</t>
  </si>
  <si>
    <t>Purchase</t>
  </si>
  <si>
    <t>PITRESHWAR AUTOMOBILE</t>
  </si>
  <si>
    <t>Sales</t>
  </si>
  <si>
    <t>PRINCE INDUSTRIES</t>
  </si>
  <si>
    <t>Om Engineering(Bhosari)</t>
  </si>
  <si>
    <t>Ramkrishna Traders</t>
  </si>
  <si>
    <t>RAJ Tool And Hardware</t>
  </si>
  <si>
    <t>Pallavi Extrusion &amp; Rubber Products</t>
  </si>
  <si>
    <t>PAMTEK SOLUTION</t>
  </si>
  <si>
    <t>PIONEER ENGINEERING(DEHU)</t>
  </si>
  <si>
    <t>RELIABLE ENTERPRISES (DR)</t>
  </si>
  <si>
    <t>Shri Ram Lubricants</t>
  </si>
  <si>
    <t>Vikas Engineering</t>
  </si>
  <si>
    <t>Raj Tools ( Talwade)</t>
  </si>
  <si>
    <t>R D ENGINEEERING</t>
  </si>
  <si>
    <t>Prerana Rubber Industries(Chikhli)</t>
  </si>
  <si>
    <t>Shruti Foundry Products</t>
  </si>
  <si>
    <t>Perfect Metallurgical Services Pvt Ltd</t>
  </si>
  <si>
    <t>PARMAR TECHNO FORGE</t>
  </si>
  <si>
    <t>(cancelled )</t>
  </si>
  <si>
    <t>Om Engineers (SINHGHAD ROAD)</t>
  </si>
  <si>
    <t>Papertube Machine PVT LTD</t>
  </si>
  <si>
    <t>Plasto Craft</t>
  </si>
  <si>
    <t>Riya Precisions</t>
  </si>
  <si>
    <t>Rohit Industries (Talawade)</t>
  </si>
  <si>
    <t>Payas Industries</t>
  </si>
  <si>
    <t>Pooja Engineers</t>
  </si>
  <si>
    <t>Polestar Auto</t>
  </si>
  <si>
    <t>REAL TECH ENGINEERING</t>
  </si>
  <si>
    <t>SHREERAM NETS PVT LTD</t>
  </si>
  <si>
    <t>Perfect Packaging</t>
  </si>
  <si>
    <t>Parimal Tooling System</t>
  </si>
  <si>
    <t>OMKAR INDUSTRIES</t>
  </si>
  <si>
    <t>Rohit Industries</t>
  </si>
  <si>
    <t>customer</t>
  </si>
  <si>
    <t>gst</t>
  </si>
  <si>
    <t>ShreeKalyanIndustries</t>
  </si>
  <si>
    <t>BharatvanshMetals</t>
  </si>
  <si>
    <t>NavkarSteels</t>
  </si>
  <si>
    <t>DhanrajEngineeringWorks</t>
  </si>
  <si>
    <t>SomnathCastings</t>
  </si>
  <si>
    <t>OmkarPrecisionTools</t>
  </si>
  <si>
    <t>AgnivanshPolymers</t>
  </si>
  <si>
    <t>PrathamAlloys</t>
  </si>
  <si>
    <t>ShubhamIndustrialCorp</t>
  </si>
  <si>
    <t>TriveniEngineeringPvtLtd</t>
  </si>
  <si>
    <t>MeghdootFoundries</t>
  </si>
  <si>
    <t>RajputanaMetals</t>
  </si>
  <si>
    <t>SiddhivinayakFabricators</t>
  </si>
  <si>
    <t>BhagirathPowerSystems</t>
  </si>
  <si>
    <t>SuryaKiranForgings</t>
  </si>
  <si>
    <t>AryavartSteels</t>
  </si>
  <si>
    <t>SwastikEngineeringWorks</t>
  </si>
  <si>
    <t>OmprakashFoundryPvtLtd</t>
  </si>
  <si>
    <t>KeshavIndustrialSolutions</t>
  </si>
  <si>
    <t>DhruvInfraBuild</t>
  </si>
  <si>
    <t>ShivneriPrecisionCast</t>
  </si>
  <si>
    <t>ManavMetalsPvtLtd</t>
  </si>
  <si>
    <t>KrishnaEngineeringWorks</t>
  </si>
  <si>
    <t>NarmadaAlloyWorks</t>
  </si>
  <si>
    <t>DattatrayForgingHouse</t>
  </si>
  <si>
    <t>VishwakarmaSteelsPvtLtd</t>
  </si>
  <si>
    <t>MarudharEngineeringCo.</t>
  </si>
  <si>
    <t>UdaygiriPowerTech</t>
  </si>
  <si>
    <t>ChandraprabhaFabricators</t>
  </si>
  <si>
    <t>SahyadriEngineering</t>
  </si>
  <si>
    <t>ShreeGaneshCastTech</t>
  </si>
  <si>
    <t>AnandMetalWorks</t>
  </si>
  <si>
    <t>NavjivanSteelAlloys</t>
  </si>
  <si>
    <t>LokmanyaIndustries</t>
  </si>
  <si>
    <t>HimalayaTechCastPvtLtd</t>
  </si>
  <si>
    <t>ParashaktiEngineeringCo.</t>
  </si>
  <si>
    <t>IndraprasthFoundries</t>
  </si>
  <si>
    <t>RaghunathMetalWorks</t>
  </si>
  <si>
    <t>SamrudhiEngineeringPvtLtd</t>
  </si>
  <si>
    <t>NarayanForgingWorks</t>
  </si>
  <si>
    <t>PavanputraCastings</t>
  </si>
  <si>
    <t>BholeNathInfraTech</t>
  </si>
  <si>
    <t>ManoharSteelPvtLtd</t>
  </si>
  <si>
    <t>JansevakIndustries</t>
  </si>
  <si>
    <t>PrernaAlloysPvtLtd</t>
  </si>
  <si>
    <t>GovindMetalWorks</t>
  </si>
  <si>
    <t>RudraPrecisionEngineering</t>
  </si>
  <si>
    <t>KalyugEngineeringCo.</t>
  </si>
  <si>
    <t>MoryaInfraSteels</t>
  </si>
  <si>
    <t>DeccanAlloysPvtLtd</t>
  </si>
  <si>
    <t>RajputCastTechPvtLtd</t>
  </si>
  <si>
    <t>ShreeSiddhiMetals</t>
  </si>
  <si>
    <t>JagdambaPowerSystems</t>
  </si>
  <si>
    <t>ShubhLabhEngineering</t>
  </si>
  <si>
    <t>RatnamInfraMetals</t>
  </si>
  <si>
    <t>MeghrajPrecisionMetals</t>
  </si>
  <si>
    <t>GaurishankarCastTechPvtLtd</t>
  </si>
  <si>
    <t>AmardeepMetalsPvtLtd</t>
  </si>
  <si>
    <t>DharmarajSteelsPvtLtd</t>
  </si>
  <si>
    <t>BRajdhanInfraTech</t>
  </si>
  <si>
    <t>KalpataruMachineries+</t>
  </si>
  <si>
    <t>JagdambaPowerSystems (Talwade)</t>
  </si>
  <si>
    <t xml:space="preserve">Shree Lakshmi Traders  </t>
  </si>
  <si>
    <t xml:space="preserve">Ganpati Distributors  </t>
  </si>
  <si>
    <t xml:space="preserve">Prakash General Stores  </t>
  </si>
  <si>
    <t xml:space="preserve">Chandraprabha Trading  </t>
  </si>
  <si>
    <t xml:space="preserve">Rudra Agro Suppliers  </t>
  </si>
  <si>
    <t xml:space="preserve">Satyam Trade Links  </t>
  </si>
  <si>
    <t xml:space="preserve">Kuber Distributors  </t>
  </si>
  <si>
    <t xml:space="preserve">Triveni Agro Mart  </t>
  </si>
  <si>
    <t xml:space="preserve">Siddheshwar Supplies  </t>
  </si>
  <si>
    <t xml:space="preserve">Govardhan Trade Links  </t>
  </si>
  <si>
    <t xml:space="preserve">Laxmipati Merchants  </t>
  </si>
  <si>
    <t xml:space="preserve">Bhagirath Suppliers  </t>
  </si>
  <si>
    <t>Aryavansh Overseas</t>
  </si>
  <si>
    <t>Vishwakarma Supplies</t>
  </si>
  <si>
    <t>Mahadeo Enterprises</t>
  </si>
  <si>
    <t>Rajendra Trading Co</t>
  </si>
  <si>
    <t>Kailash Commodity House</t>
  </si>
  <si>
    <t xml:space="preserve">Omkar Wholesale Mart </t>
  </si>
  <si>
    <t>Bhagwati Suppliers</t>
  </si>
  <si>
    <t xml:space="preserve">Suryavanshi Agro Trade </t>
  </si>
  <si>
    <t>Balaji Imports Exports</t>
  </si>
  <si>
    <t xml:space="preserve">Navkar Wholesale Hub </t>
  </si>
  <si>
    <t xml:space="preserve">Shubhlabh Merchants </t>
  </si>
  <si>
    <t xml:space="preserve">Gajanan Overseas Mart </t>
  </si>
  <si>
    <t>Manohar Commodity Point</t>
  </si>
  <si>
    <t xml:space="preserve">Rajputana Merchants </t>
  </si>
  <si>
    <t xml:space="preserve">Somnath Wholesale Corp </t>
  </si>
  <si>
    <t xml:space="preserve">Yamuna Trading House </t>
  </si>
  <si>
    <t xml:space="preserve">Kuber Distributors </t>
  </si>
  <si>
    <t>transaction type</t>
  </si>
  <si>
    <t>Row Labels</t>
  </si>
  <si>
    <t>Grand Total</t>
  </si>
  <si>
    <t>Apr</t>
  </si>
  <si>
    <t>May</t>
  </si>
  <si>
    <t>Jun</t>
  </si>
  <si>
    <t>Column Labels</t>
  </si>
  <si>
    <t>Count of Gross Total</t>
  </si>
  <si>
    <t>Sum of Gross Total</t>
  </si>
  <si>
    <t>Sum of gst</t>
  </si>
  <si>
    <t>Sum of Quantity</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</si>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</sst>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0"/>
    <numFmt numFmtId="165" formatCode="&quot;&quot;0.00"/>
    <numFmt numFmtId="166" formatCode="[$₹-4009]\ #,##0"/>
  </numFmts>
  <fonts count="7" x14ac:knownFonts="1">
    <font>
      <sz val="11"/>
      <color theme="1"/>
      <name val="Calibri"/>
      <family val="2"/>
      <scheme val="minor"/>
    </font>
    <font>
      <sz val="9"/>
      <color theme="1"/>
      <name val="Arial"/>
      <family val="2"/>
    </font>
    <font>
      <i/>
      <sz val="9"/>
      <color theme="1"/>
      <name val="Arial"/>
      <family val="2"/>
    </font>
    <font>
      <b/>
      <sz val="9"/>
      <color theme="1"/>
      <name val="Arial"/>
      <family val="2"/>
    </font>
    <font>
      <sz val="11"/>
      <color rgb="FFFF0000"/>
      <name val="Calibri"/>
      <family val="2"/>
      <scheme val="minor"/>
    </font>
    <font>
      <b/>
      <sz val="9"/>
      <color theme="1"/>
      <name val="Arial"/>
      <family val="2"/>
    </font>
    <font>
      <sz val="9"/>
      <color theme="1"/>
      <name val="Arial"/>
      <family val="2"/>
    </font>
  </fonts>
  <fills count="3">
    <fill>
      <patternFill patternType="none"/>
    </fill>
    <fill>
      <patternFill patternType="gray125"/>
    </fill>
    <fill>
      <patternFill patternType="solid">
        <fgColor rgb="FF92D050"/>
        <bgColor indexed="64"/>
      </patternFill>
    </fill>
  </fills>
  <borders count="6">
    <border>
      <left/>
      <right/>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s>
  <cellStyleXfs count="1">
    <xf numFmtId="0" fontId="0" fillId="0" borderId="0"/>
  </cellStyleXfs>
  <cellXfs count="36">
    <xf numFmtId="0" fontId="0" fillId="0" borderId="0" xfId="0"/>
    <xf numFmtId="49" fontId="3" fillId="0" borderId="1" xfId="0" applyNumberFormat="1" applyFont="1" applyBorder="1" applyAlignment="1">
      <alignment vertical="top"/>
    </xf>
    <xf numFmtId="49" fontId="1" fillId="0" borderId="1" xfId="0" applyNumberFormat="1" applyFont="1" applyBorder="1" applyAlignment="1">
      <alignment vertical="top"/>
    </xf>
    <xf numFmtId="165" fontId="3" fillId="0" borderId="1" xfId="0" applyNumberFormat="1" applyFont="1" applyBorder="1" applyAlignment="1">
      <alignment horizontal="right" vertical="top"/>
    </xf>
    <xf numFmtId="49" fontId="3" fillId="0" borderId="2" xfId="0" applyNumberFormat="1" applyFont="1" applyBorder="1" applyAlignment="1">
      <alignment vertical="top"/>
    </xf>
    <xf numFmtId="49" fontId="1" fillId="0" borderId="2" xfId="0" applyNumberFormat="1" applyFont="1" applyBorder="1" applyAlignment="1">
      <alignment vertical="top"/>
    </xf>
    <xf numFmtId="165" fontId="3" fillId="0" borderId="2" xfId="0" applyNumberFormat="1" applyFont="1" applyBorder="1" applyAlignment="1">
      <alignment horizontal="right" vertical="top"/>
    </xf>
    <xf numFmtId="164" fontId="3" fillId="0" borderId="2" xfId="0" applyNumberFormat="1" applyFont="1" applyBorder="1" applyAlignment="1">
      <alignment horizontal="right" vertical="top"/>
    </xf>
    <xf numFmtId="15" fontId="1" fillId="0" borderId="3" xfId="0" applyNumberFormat="1" applyFont="1" applyBorder="1" applyAlignment="1">
      <alignment horizontal="right" vertical="top"/>
    </xf>
    <xf numFmtId="15" fontId="1" fillId="0" borderId="0" xfId="0" applyNumberFormat="1" applyFont="1" applyAlignment="1">
      <alignment horizontal="right" vertical="top"/>
    </xf>
    <xf numFmtId="49" fontId="1" fillId="0" borderId="4" xfId="0" applyNumberFormat="1" applyFont="1" applyBorder="1" applyAlignment="1">
      <alignment horizontal="center" vertical="top" wrapText="1"/>
    </xf>
    <xf numFmtId="49" fontId="1" fillId="0" borderId="5" xfId="0" applyNumberFormat="1" applyFont="1" applyBorder="1" applyAlignment="1">
      <alignment horizontal="center" vertical="top" wrapText="1"/>
    </xf>
    <xf numFmtId="49" fontId="2" fillId="0" borderId="2" xfId="0" applyNumberFormat="1" applyFont="1" applyBorder="1" applyAlignment="1">
      <alignment horizontal="left" vertical="top" indent="2"/>
    </xf>
    <xf numFmtId="49" fontId="2" fillId="0" borderId="1" xfId="0" applyNumberFormat="1" applyFont="1" applyBorder="1" applyAlignment="1">
      <alignment horizontal="left" vertical="top" indent="2"/>
    </xf>
    <xf numFmtId="164" fontId="3" fillId="0" borderId="1" xfId="0" applyNumberFormat="1" applyFont="1" applyBorder="1" applyAlignment="1">
      <alignment horizontal="right" vertical="top"/>
    </xf>
    <xf numFmtId="0" fontId="0" fillId="0" borderId="0" xfId="0" applyAlignment="1">
      <alignment horizontal="left"/>
    </xf>
    <xf numFmtId="2" fontId="1" fillId="0" borderId="5" xfId="0" applyNumberFormat="1" applyFont="1" applyBorder="1" applyAlignment="1">
      <alignment horizontal="center" vertical="top" wrapText="1"/>
    </xf>
    <xf numFmtId="2" fontId="3" fillId="0" borderId="1" xfId="0" applyNumberFormat="1" applyFont="1" applyBorder="1" applyAlignment="1">
      <alignment horizontal="right" vertical="top"/>
    </xf>
    <xf numFmtId="2" fontId="3" fillId="0" borderId="2" xfId="0" applyNumberFormat="1" applyFont="1" applyBorder="1" applyAlignment="1">
      <alignment horizontal="right" vertical="top"/>
    </xf>
    <xf numFmtId="2" fontId="0" fillId="0" borderId="0" xfId="0" applyNumberFormat="1"/>
    <xf numFmtId="2" fontId="2" fillId="0" borderId="5" xfId="0" applyNumberFormat="1" applyFont="1" applyBorder="1" applyAlignment="1">
      <alignment horizontal="center" vertical="top" wrapText="1"/>
    </xf>
    <xf numFmtId="2" fontId="2" fillId="0" borderId="1" xfId="0" applyNumberFormat="1" applyFont="1" applyBorder="1" applyAlignment="1">
      <alignment horizontal="right" vertical="top"/>
    </xf>
    <xf numFmtId="2" fontId="2" fillId="0" borderId="2" xfId="0" applyNumberFormat="1" applyFont="1" applyBorder="1" applyAlignment="1">
      <alignment horizontal="right" vertical="top"/>
    </xf>
    <xf numFmtId="165" fontId="3" fillId="0" borderId="0" xfId="0" applyNumberFormat="1" applyFont="1" applyAlignment="1">
      <alignment horizontal="right" vertical="top"/>
    </xf>
    <xf numFmtId="49" fontId="1" fillId="0" borderId="0" xfId="0" applyNumberFormat="1" applyFont="1" applyBorder="1" applyAlignment="1">
      <alignment horizontal="center" vertical="top" wrapText="1"/>
    </xf>
    <xf numFmtId="0" fontId="4" fillId="2" borderId="0" xfId="0" applyFont="1" applyFill="1" applyAlignment="1">
      <alignment horizontal="left"/>
    </xf>
    <xf numFmtId="0" fontId="4" fillId="2" borderId="0" xfId="0" applyFont="1" applyFill="1"/>
    <xf numFmtId="0" fontId="5" fillId="0" borderId="0" xfId="0" applyFont="1" applyAlignment="1">
      <alignment horizontal="right" vertical="top"/>
    </xf>
    <xf numFmtId="49" fontId="6" fillId="0" borderId="4" xfId="0" applyNumberFormat="1" applyFont="1" applyBorder="1" applyAlignment="1">
      <alignment horizontal="center" vertical="top" wrapText="1"/>
    </xf>
    <xf numFmtId="15" fontId="1" fillId="0" borderId="0" xfId="0" applyNumberFormat="1" applyFont="1" applyBorder="1" applyAlignment="1">
      <alignment horizontal="right" vertical="top"/>
    </xf>
    <xf numFmtId="0" fontId="0" fillId="0" borderId="0" xfId="0" applyBorder="1"/>
    <xf numFmtId="0" fontId="0" fillId="0" borderId="0" xfId="0" applyNumberFormat="1"/>
    <xf numFmtId="14" fontId="0" fillId="0" borderId="0" xfId="0" applyNumberFormat="1"/>
    <xf numFmtId="0" fontId="0" fillId="0" borderId="0" xfId="0" pivotButton="1"/>
    <xf numFmtId="166" fontId="0" fillId="0" borderId="0" xfId="0" applyNumberFormat="1"/>
    <xf numFmtId="3" fontId="0" fillId="0" borderId="0" xfId="0" applyNumberFormat="1"/>
  </cellXfs>
  <cellStyles count="1">
    <cellStyle name="Normal" xfId="0" builtinId="0"/>
  </cellStyles>
  <dxfs count="46">
    <dxf>
      <numFmt numFmtId="19" formatCode="dd/mm/yyyy"/>
    </dxf>
    <dxf>
      <numFmt numFmtId="166" formatCode="[$₹-4009]\ #,##0"/>
    </dxf>
    <dxf>
      <numFmt numFmtId="1" formatCode="0"/>
    </dxf>
    <dxf>
      <numFmt numFmtId="167" formatCode="0.0"/>
    </dxf>
    <dxf>
      <numFmt numFmtId="2" formatCode="0.00"/>
    </dxf>
    <dxf>
      <numFmt numFmtId="166" formatCode="[$₹-4009]\ #,##0"/>
    </dxf>
    <dxf>
      <numFmt numFmtId="1" formatCode="0"/>
    </dxf>
    <dxf>
      <numFmt numFmtId="167" formatCode="0.0"/>
    </dxf>
    <dxf>
      <numFmt numFmtId="2" formatCode="0.00"/>
    </dxf>
    <dxf>
      <numFmt numFmtId="166" formatCode="[$₹-4009]\ #,##0"/>
    </dxf>
    <dxf>
      <numFmt numFmtId="1" formatCode="0"/>
    </dxf>
    <dxf>
      <numFmt numFmtId="167" formatCode="0.0"/>
    </dxf>
    <dxf>
      <numFmt numFmtId="2" formatCode="0.00"/>
    </dxf>
    <dxf>
      <numFmt numFmtId="3" formatCode="#,##0"/>
    </dxf>
    <dxf>
      <numFmt numFmtId="166" formatCode="[$₹-4009]\ #,##0"/>
    </dxf>
    <dxf>
      <numFmt numFmtId="1" formatCode="0"/>
    </dxf>
    <dxf>
      <numFmt numFmtId="167" formatCode="0.0"/>
    </dxf>
    <dxf>
      <numFmt numFmtId="2" formatCode="0.00"/>
    </dxf>
    <dxf>
      <numFmt numFmtId="166" formatCode="[$₹-4009]\ #,##0"/>
    </dxf>
    <dxf>
      <numFmt numFmtId="1" formatCode="0"/>
    </dxf>
    <dxf>
      <numFmt numFmtId="167" formatCode="0.0"/>
    </dxf>
    <dxf>
      <numFmt numFmtId="2" formatCode="0.00"/>
    </dxf>
    <dxf>
      <font>
        <b/>
        <i val="0"/>
        <strike val="0"/>
        <condense val="0"/>
        <extend val="0"/>
        <outline val="0"/>
        <shadow val="0"/>
        <u val="none"/>
        <vertAlign val="baseline"/>
        <sz val="9"/>
        <color theme="1"/>
        <name val="Arial"/>
        <scheme val="none"/>
      </font>
      <numFmt numFmtId="0" formatCode="General"/>
      <alignment horizontal="right" vertical="top" textRotation="0" wrapText="0" indent="0" justifyLastLine="0" shrinkToFit="0" readingOrder="0"/>
    </dxf>
    <dxf>
      <font>
        <b/>
        <i val="0"/>
        <strike val="0"/>
        <condense val="0"/>
        <extend val="0"/>
        <outline val="0"/>
        <shadow val="0"/>
        <u val="none"/>
        <vertAlign val="baseline"/>
        <sz val="9"/>
        <color theme="1"/>
        <name val="Arial"/>
        <scheme val="none"/>
      </font>
      <numFmt numFmtId="165" formatCode="&quot;&quot;0.00"/>
      <alignment horizontal="right" vertical="top" textRotation="0" wrapText="0" indent="0" justifyLastLine="0" shrinkToFit="0" readingOrder="0"/>
      <border diagonalUp="0" diagonalDown="0">
        <left style="thin">
          <color indexed="64"/>
        </left>
        <right/>
        <top/>
        <bottom/>
        <vertical/>
        <horizontal/>
      </border>
    </dxf>
    <dxf>
      <font>
        <b/>
        <i val="0"/>
        <strike val="0"/>
        <condense val="0"/>
        <extend val="0"/>
        <outline val="0"/>
        <shadow val="0"/>
        <u val="none"/>
        <vertAlign val="baseline"/>
        <sz val="9"/>
        <color theme="1"/>
        <name val="Arial"/>
        <scheme val="none"/>
      </font>
      <numFmt numFmtId="165" formatCode="&quot;&quot;0.00"/>
      <alignment horizontal="right" vertical="top" textRotation="0" wrapText="0" indent="0" justifyLastLine="0" shrinkToFit="0" readingOrder="0"/>
    </dxf>
    <dxf>
      <font>
        <b val="0"/>
        <i/>
        <strike val="0"/>
        <condense val="0"/>
        <extend val="0"/>
        <outline val="0"/>
        <shadow val="0"/>
        <u val="none"/>
        <vertAlign val="baseline"/>
        <sz val="9"/>
        <color theme="1"/>
        <name val="Arial"/>
        <scheme val="none"/>
      </font>
      <numFmt numFmtId="2" formatCode="0.00"/>
      <alignment horizontal="right" vertical="top" textRotation="0" wrapText="0" indent="0" justifyLastLine="0" shrinkToFit="0" readingOrder="0"/>
    </dxf>
    <dxf>
      <font>
        <b/>
        <i val="0"/>
        <strike val="0"/>
        <condense val="0"/>
        <extend val="0"/>
        <outline val="0"/>
        <shadow val="0"/>
        <u val="none"/>
        <vertAlign val="baseline"/>
        <sz val="9"/>
        <color theme="1"/>
        <name val="Arial"/>
        <scheme val="none"/>
      </font>
      <numFmt numFmtId="2" formatCode="0.00"/>
      <alignment horizontal="right" vertical="top"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rial"/>
        <scheme val="none"/>
      </font>
      <numFmt numFmtId="30" formatCode="@"/>
      <alignment horizontal="general" vertical="top" textRotation="0" wrapText="0" indent="0" justifyLastLine="0" shrinkToFit="0" readingOrder="0"/>
      <border diagonalUp="0" diagonalDown="0">
        <left style="thin">
          <color indexed="64"/>
        </left>
        <right/>
        <top/>
        <bottom/>
        <vertical/>
        <horizontal/>
      </border>
    </dxf>
    <dxf>
      <font>
        <b/>
        <i val="0"/>
        <strike val="0"/>
        <condense val="0"/>
        <extend val="0"/>
        <outline val="0"/>
        <shadow val="0"/>
        <u val="none"/>
        <vertAlign val="baseline"/>
        <sz val="9"/>
        <color theme="1"/>
        <name val="Arial"/>
        <scheme val="none"/>
      </font>
      <numFmt numFmtId="30" formatCode="@"/>
      <alignment horizontal="general" vertical="top"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Arial"/>
        <scheme val="none"/>
      </font>
      <numFmt numFmtId="168" formatCode="dd/mmm/yy"/>
      <alignment horizontal="right" vertical="top" textRotation="0" wrapText="0" indent="0" justifyLastLine="0" shrinkToFit="0" readingOrder="0"/>
    </dxf>
    <dxf>
      <border outline="0">
        <left style="thin">
          <color indexed="64"/>
        </left>
        <top style="thin">
          <color indexed="64"/>
        </top>
      </border>
    </dxf>
    <dxf>
      <font>
        <b/>
        <i val="0"/>
        <strike val="0"/>
        <condense val="0"/>
        <extend val="0"/>
        <outline val="0"/>
        <shadow val="0"/>
        <u val="none"/>
        <vertAlign val="baseline"/>
        <sz val="9"/>
        <color theme="1"/>
        <name val="Arial"/>
        <scheme val="none"/>
      </font>
      <alignment horizontal="right"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9"/>
        <color theme="1"/>
        <name val="Arial"/>
        <scheme val="none"/>
      </font>
      <numFmt numFmtId="30" formatCode="@"/>
      <alignment horizontal="center" vertical="top" textRotation="0" wrapText="1" indent="0" justifyLastLine="0" shrinkToFit="0" readingOrder="0"/>
    </dxf>
    <dxf>
      <font>
        <b/>
        <i val="0"/>
        <strike val="0"/>
        <condense val="0"/>
        <extend val="0"/>
        <outline val="0"/>
        <shadow val="0"/>
        <u val="none"/>
        <vertAlign val="baseline"/>
        <sz val="9"/>
        <color theme="1"/>
        <name val="Arial"/>
        <scheme val="none"/>
      </font>
      <numFmt numFmtId="165" formatCode="&quot;&quot;0.00"/>
      <alignment horizontal="right" vertical="top" textRotation="0" wrapText="0" indent="0" justifyLastLine="0" shrinkToFit="0" readingOrder="0"/>
    </dxf>
    <dxf>
      <font>
        <b/>
        <i val="0"/>
        <strike val="0"/>
        <condense val="0"/>
        <extend val="0"/>
        <outline val="0"/>
        <shadow val="0"/>
        <u val="none"/>
        <vertAlign val="baseline"/>
        <sz val="9"/>
        <color theme="1"/>
        <name val="Arial"/>
        <scheme val="none"/>
      </font>
      <numFmt numFmtId="165" formatCode="&quot;&quot;0.00"/>
      <alignment horizontal="right" vertical="top" textRotation="0" wrapText="0" indent="0" justifyLastLine="0" shrinkToFit="0" readingOrder="0"/>
      <border diagonalUp="0" diagonalDown="0">
        <left style="thin">
          <color indexed="64"/>
        </left>
        <right/>
        <top/>
        <bottom/>
        <vertical/>
        <horizontal/>
      </border>
    </dxf>
    <dxf>
      <font>
        <b/>
        <i val="0"/>
        <strike val="0"/>
        <condense val="0"/>
        <extend val="0"/>
        <outline val="0"/>
        <shadow val="0"/>
        <u val="none"/>
        <vertAlign val="baseline"/>
        <sz val="9"/>
        <color theme="1"/>
        <name val="Arial"/>
        <scheme val="none"/>
      </font>
      <numFmt numFmtId="165" formatCode="&quot;&quot;0.00"/>
      <alignment horizontal="right" vertical="top" textRotation="0" wrapText="0" indent="0" justifyLastLine="0" shrinkToFit="0" readingOrder="0"/>
    </dxf>
    <dxf>
      <font>
        <b val="0"/>
        <i/>
        <strike val="0"/>
        <condense val="0"/>
        <extend val="0"/>
        <outline val="0"/>
        <shadow val="0"/>
        <u val="none"/>
        <vertAlign val="baseline"/>
        <sz val="9"/>
        <color theme="1"/>
        <name val="Arial"/>
        <scheme val="none"/>
      </font>
      <numFmt numFmtId="2" formatCode="0.00"/>
      <alignment horizontal="right" vertical="top" textRotation="0" wrapText="0" indent="0" justifyLastLine="0" shrinkToFit="0" readingOrder="0"/>
    </dxf>
    <dxf>
      <font>
        <b/>
        <i val="0"/>
        <strike val="0"/>
        <condense val="0"/>
        <extend val="0"/>
        <outline val="0"/>
        <shadow val="0"/>
        <u val="none"/>
        <vertAlign val="baseline"/>
        <sz val="9"/>
        <color theme="1"/>
        <name val="Arial"/>
        <scheme val="none"/>
      </font>
      <numFmt numFmtId="2" formatCode="0.00"/>
      <alignment horizontal="right" vertical="top"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Arial"/>
        <scheme val="none"/>
      </font>
      <numFmt numFmtId="30" formatCode="@"/>
      <alignment horizontal="general" vertical="top" textRotation="0" wrapText="0" indent="0" justifyLastLine="0" shrinkToFit="0" readingOrder="0"/>
      <border diagonalUp="0" diagonalDown="0">
        <left style="thin">
          <color indexed="64"/>
        </left>
        <right/>
        <top/>
        <bottom/>
        <vertical/>
        <horizontal/>
      </border>
    </dxf>
    <dxf>
      <font>
        <b/>
        <i val="0"/>
        <strike val="0"/>
        <condense val="0"/>
        <extend val="0"/>
        <outline val="0"/>
        <shadow val="0"/>
        <u val="none"/>
        <vertAlign val="baseline"/>
        <sz val="9"/>
        <color theme="1"/>
        <name val="Arial"/>
        <scheme val="none"/>
      </font>
      <numFmt numFmtId="30" formatCode="@"/>
      <alignment horizontal="general" vertical="top"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9"/>
        <color theme="1"/>
        <name val="Arial"/>
        <scheme val="none"/>
      </font>
      <numFmt numFmtId="168" formatCode="dd/mmm/yy"/>
      <alignment horizontal="right" vertical="top" textRotation="0" wrapText="0" indent="0" justifyLastLine="0" shrinkToFit="0" readingOrder="0"/>
    </dxf>
    <dxf>
      <border outline="0">
        <left style="thin">
          <color indexed="64"/>
        </left>
        <top style="thin">
          <color indexed="64"/>
        </top>
      </border>
    </dxf>
    <dxf>
      <font>
        <b/>
        <i val="0"/>
        <strike val="0"/>
        <condense val="0"/>
        <extend val="0"/>
        <outline val="0"/>
        <shadow val="0"/>
        <u val="none"/>
        <vertAlign val="baseline"/>
        <sz val="9"/>
        <color theme="1"/>
        <name val="Arial"/>
        <scheme val="none"/>
      </font>
      <alignment horizontal="right"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9"/>
        <color theme="1"/>
        <name val="Arial"/>
        <scheme val="none"/>
      </font>
      <numFmt numFmtId="30" formatCode="@"/>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DATA WORK.xlsx]Sheet4!PivotTable1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Sheet4!$B$3:$B$4</c:f>
              <c:strCache>
                <c:ptCount val="1"/>
                <c:pt idx="0">
                  <c:v>Purchase</c:v>
                </c:pt>
              </c:strCache>
            </c:strRef>
          </c:tx>
          <c:spPr>
            <a:solidFill>
              <a:schemeClr val="accent1"/>
            </a:solidFill>
            <a:ln>
              <a:noFill/>
            </a:ln>
            <a:effectLst/>
          </c:spPr>
          <c:invertIfNegative val="0"/>
          <c:cat>
            <c:strRef>
              <c:f>Sheet4!$A$5:$A$8</c:f>
              <c:strCache>
                <c:ptCount val="3"/>
                <c:pt idx="0">
                  <c:v>Apr</c:v>
                </c:pt>
                <c:pt idx="1">
                  <c:v>May</c:v>
                </c:pt>
                <c:pt idx="2">
                  <c:v>Jun</c:v>
                </c:pt>
              </c:strCache>
            </c:strRef>
          </c:cat>
          <c:val>
            <c:numRef>
              <c:f>Sheet4!$B$5:$B$8</c:f>
              <c:numCache>
                <c:formatCode>[$₹-4009]\ #,##0</c:formatCode>
                <c:ptCount val="3"/>
                <c:pt idx="0">
                  <c:v>3618032.6683999998</c:v>
                </c:pt>
                <c:pt idx="1">
                  <c:v>5367556.7537999991</c:v>
                </c:pt>
                <c:pt idx="2">
                  <c:v>5598322.2383999992</c:v>
                </c:pt>
              </c:numCache>
            </c:numRef>
          </c:val>
          <c:extLst>
            <c:ext xmlns:c16="http://schemas.microsoft.com/office/drawing/2014/chart" uri="{C3380CC4-5D6E-409C-BE32-E72D297353CC}">
              <c16:uniqueId val="{00000000-DB31-418C-B8E2-A3567C89CFE8}"/>
            </c:ext>
          </c:extLst>
        </c:ser>
        <c:ser>
          <c:idx val="1"/>
          <c:order val="1"/>
          <c:tx>
            <c:strRef>
              <c:f>Sheet4!$C$3:$C$4</c:f>
              <c:strCache>
                <c:ptCount val="1"/>
                <c:pt idx="0">
                  <c:v>Sales</c:v>
                </c:pt>
              </c:strCache>
            </c:strRef>
          </c:tx>
          <c:spPr>
            <a:solidFill>
              <a:schemeClr val="accent2"/>
            </a:solidFill>
            <a:ln>
              <a:noFill/>
            </a:ln>
            <a:effectLst/>
          </c:spPr>
          <c:invertIfNegative val="0"/>
          <c:cat>
            <c:strRef>
              <c:f>Sheet4!$A$5:$A$8</c:f>
              <c:strCache>
                <c:ptCount val="3"/>
                <c:pt idx="0">
                  <c:v>Apr</c:v>
                </c:pt>
                <c:pt idx="1">
                  <c:v>May</c:v>
                </c:pt>
                <c:pt idx="2">
                  <c:v>Jun</c:v>
                </c:pt>
              </c:strCache>
            </c:strRef>
          </c:cat>
          <c:val>
            <c:numRef>
              <c:f>Sheet4!$C$5:$C$8</c:f>
              <c:numCache>
                <c:formatCode>[$₹-4009]\ #,##0</c:formatCode>
                <c:ptCount val="3"/>
                <c:pt idx="0">
                  <c:v>4175753.6040000007</c:v>
                </c:pt>
                <c:pt idx="1">
                  <c:v>3837295</c:v>
                </c:pt>
                <c:pt idx="2">
                  <c:v>4484380.5</c:v>
                </c:pt>
              </c:numCache>
            </c:numRef>
          </c:val>
          <c:extLst>
            <c:ext xmlns:c16="http://schemas.microsoft.com/office/drawing/2014/chart" uri="{C3380CC4-5D6E-409C-BE32-E72D297353CC}">
              <c16:uniqueId val="{00000001-DB31-418C-B8E2-A3567C89CFE8}"/>
            </c:ext>
          </c:extLst>
        </c:ser>
        <c:dLbls>
          <c:showLegendKey val="0"/>
          <c:showVal val="0"/>
          <c:showCatName val="0"/>
          <c:showSerName val="0"/>
          <c:showPercent val="0"/>
          <c:showBubbleSize val="0"/>
        </c:dLbls>
        <c:gapWidth val="219"/>
        <c:overlap val="-27"/>
        <c:axId val="643682960"/>
        <c:axId val="643683288"/>
      </c:barChart>
      <c:catAx>
        <c:axId val="64368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83288"/>
        <c:crosses val="autoZero"/>
        <c:auto val="1"/>
        <c:lblAlgn val="ctr"/>
        <c:lblOffset val="100"/>
        <c:noMultiLvlLbl val="0"/>
      </c:catAx>
      <c:valAx>
        <c:axId val="643683288"/>
        <c:scaling>
          <c:orientation val="minMax"/>
        </c:scaling>
        <c:delete val="0"/>
        <c:axPos val="l"/>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3682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DATA WORK.xlsx]Sheet4!PivotTable2</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Sheet4!$B$26</c:f>
              <c:strCache>
                <c:ptCount val="1"/>
                <c:pt idx="0">
                  <c:v>Total</c:v>
                </c:pt>
              </c:strCache>
            </c:strRef>
          </c:tx>
          <c:spPr>
            <a:solidFill>
              <a:schemeClr val="accent1"/>
            </a:solidFill>
            <a:ln>
              <a:noFill/>
            </a:ln>
            <a:effectLst/>
          </c:spPr>
          <c:invertIfNegative val="0"/>
          <c:cat>
            <c:strRef>
              <c:f>Sheet4!$A$27:$A$37</c:f>
              <c:strCache>
                <c:ptCount val="10"/>
                <c:pt idx="0">
                  <c:v>GaurishankarCastTechPvtLtd</c:v>
                </c:pt>
                <c:pt idx="1">
                  <c:v>RatnamInfraMetals</c:v>
                </c:pt>
                <c:pt idx="2">
                  <c:v>JagdambaPowerSystems</c:v>
                </c:pt>
                <c:pt idx="3">
                  <c:v>ShubhLabhEngineering</c:v>
                </c:pt>
                <c:pt idx="4">
                  <c:v>AmardeepMetalsPvtLtd</c:v>
                </c:pt>
                <c:pt idx="5">
                  <c:v>ShreeSiddhiMetals</c:v>
                </c:pt>
                <c:pt idx="6">
                  <c:v>MeghrajPrecisionMetals</c:v>
                </c:pt>
                <c:pt idx="7">
                  <c:v>DharmarajSteelsPvtLtd</c:v>
                </c:pt>
                <c:pt idx="8">
                  <c:v>ShreeKalyanIndustries</c:v>
                </c:pt>
                <c:pt idx="9">
                  <c:v>ManavMetalsPvtLtd</c:v>
                </c:pt>
              </c:strCache>
            </c:strRef>
          </c:cat>
          <c:val>
            <c:numRef>
              <c:f>Sheet4!$B$27:$B$37</c:f>
              <c:numCache>
                <c:formatCode>[$₹-4009]\ #,##0</c:formatCode>
                <c:ptCount val="10"/>
                <c:pt idx="0">
                  <c:v>97</c:v>
                </c:pt>
                <c:pt idx="1">
                  <c:v>61</c:v>
                </c:pt>
                <c:pt idx="2">
                  <c:v>54</c:v>
                </c:pt>
                <c:pt idx="3">
                  <c:v>48</c:v>
                </c:pt>
                <c:pt idx="4">
                  <c:v>37</c:v>
                </c:pt>
                <c:pt idx="5">
                  <c:v>26</c:v>
                </c:pt>
                <c:pt idx="6">
                  <c:v>22</c:v>
                </c:pt>
                <c:pt idx="7">
                  <c:v>21</c:v>
                </c:pt>
                <c:pt idx="8">
                  <c:v>17</c:v>
                </c:pt>
                <c:pt idx="9">
                  <c:v>17</c:v>
                </c:pt>
              </c:numCache>
            </c:numRef>
          </c:val>
          <c:extLst>
            <c:ext xmlns:c16="http://schemas.microsoft.com/office/drawing/2014/chart" uri="{C3380CC4-5D6E-409C-BE32-E72D297353CC}">
              <c16:uniqueId val="{00000000-FE94-4DA2-9F74-50FC3C941827}"/>
            </c:ext>
          </c:extLst>
        </c:ser>
        <c:dLbls>
          <c:showLegendKey val="0"/>
          <c:showVal val="0"/>
          <c:showCatName val="0"/>
          <c:showSerName val="0"/>
          <c:showPercent val="0"/>
          <c:showBubbleSize val="0"/>
        </c:dLbls>
        <c:gapWidth val="182"/>
        <c:axId val="476852760"/>
        <c:axId val="642288008"/>
      </c:barChart>
      <c:catAx>
        <c:axId val="476852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288008"/>
        <c:crosses val="autoZero"/>
        <c:auto val="1"/>
        <c:lblAlgn val="ctr"/>
        <c:lblOffset val="100"/>
        <c:noMultiLvlLbl val="0"/>
      </c:catAx>
      <c:valAx>
        <c:axId val="642288008"/>
        <c:scaling>
          <c:orientation val="minMax"/>
        </c:scaling>
        <c:delete val="0"/>
        <c:axPos val="b"/>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852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DATA WORK.xlsx]Sheet4!PivotTable3</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Sheet4!$B$45:$B$46</c:f>
              <c:strCache>
                <c:ptCount val="1"/>
                <c:pt idx="0">
                  <c:v>Purchase</c:v>
                </c:pt>
              </c:strCache>
            </c:strRef>
          </c:tx>
          <c:spPr>
            <a:solidFill>
              <a:schemeClr val="accent1"/>
            </a:solidFill>
            <a:ln>
              <a:noFill/>
            </a:ln>
            <a:effectLst/>
          </c:spPr>
          <c:invertIfNegative val="0"/>
          <c:cat>
            <c:strRef>
              <c:f>Sheet4!$A$47:$A$49</c:f>
              <c:strCache>
                <c:ptCount val="2"/>
                <c:pt idx="0">
                  <c:v>Purchase</c:v>
                </c:pt>
                <c:pt idx="1">
                  <c:v>Sales</c:v>
                </c:pt>
              </c:strCache>
            </c:strRef>
          </c:cat>
          <c:val>
            <c:numRef>
              <c:f>Sheet4!$B$47:$B$49</c:f>
              <c:numCache>
                <c:formatCode>[$₹-4009]\ #,##0</c:formatCode>
                <c:ptCount val="2"/>
                <c:pt idx="0">
                  <c:v>14583911.660599999</c:v>
                </c:pt>
              </c:numCache>
            </c:numRef>
          </c:val>
          <c:extLst>
            <c:ext xmlns:c16="http://schemas.microsoft.com/office/drawing/2014/chart" uri="{C3380CC4-5D6E-409C-BE32-E72D297353CC}">
              <c16:uniqueId val="{00000000-1D60-4ACC-A5FA-69FCAA245ED8}"/>
            </c:ext>
          </c:extLst>
        </c:ser>
        <c:ser>
          <c:idx val="1"/>
          <c:order val="1"/>
          <c:tx>
            <c:strRef>
              <c:f>Sheet4!$C$45:$C$46</c:f>
              <c:strCache>
                <c:ptCount val="1"/>
                <c:pt idx="0">
                  <c:v>Sales</c:v>
                </c:pt>
              </c:strCache>
            </c:strRef>
          </c:tx>
          <c:spPr>
            <a:solidFill>
              <a:schemeClr val="accent2"/>
            </a:solidFill>
            <a:ln>
              <a:noFill/>
            </a:ln>
            <a:effectLst/>
          </c:spPr>
          <c:invertIfNegative val="0"/>
          <c:cat>
            <c:strRef>
              <c:f>Sheet4!$A$47:$A$49</c:f>
              <c:strCache>
                <c:ptCount val="2"/>
                <c:pt idx="0">
                  <c:v>Purchase</c:v>
                </c:pt>
                <c:pt idx="1">
                  <c:v>Sales</c:v>
                </c:pt>
              </c:strCache>
            </c:strRef>
          </c:cat>
          <c:val>
            <c:numRef>
              <c:f>Sheet4!$C$47:$C$49</c:f>
              <c:numCache>
                <c:formatCode>[$₹-4009]\ #,##0</c:formatCode>
                <c:ptCount val="2"/>
                <c:pt idx="1">
                  <c:v>12497429.104</c:v>
                </c:pt>
              </c:numCache>
            </c:numRef>
          </c:val>
          <c:extLst>
            <c:ext xmlns:c16="http://schemas.microsoft.com/office/drawing/2014/chart" uri="{C3380CC4-5D6E-409C-BE32-E72D297353CC}">
              <c16:uniqueId val="{00000001-1D60-4ACC-A5FA-69FCAA245ED8}"/>
            </c:ext>
          </c:extLst>
        </c:ser>
        <c:dLbls>
          <c:showLegendKey val="0"/>
          <c:showVal val="0"/>
          <c:showCatName val="0"/>
          <c:showSerName val="0"/>
          <c:showPercent val="0"/>
          <c:showBubbleSize val="0"/>
        </c:dLbls>
        <c:gapWidth val="219"/>
        <c:overlap val="-27"/>
        <c:axId val="470382016"/>
        <c:axId val="470377096"/>
      </c:barChart>
      <c:catAx>
        <c:axId val="47038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377096"/>
        <c:crosses val="autoZero"/>
        <c:auto val="1"/>
        <c:lblAlgn val="ctr"/>
        <c:lblOffset val="100"/>
        <c:noMultiLvlLbl val="0"/>
      </c:catAx>
      <c:valAx>
        <c:axId val="470377096"/>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382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DATA WORK.xlsx]Sheet4!PivotTable4</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areaChart>
        <c:grouping val="standard"/>
        <c:varyColors val="0"/>
        <c:ser>
          <c:idx val="0"/>
          <c:order val="0"/>
          <c:tx>
            <c:strRef>
              <c:f>Sheet4!$B$64:$B$65</c:f>
              <c:strCache>
                <c:ptCount val="1"/>
                <c:pt idx="0">
                  <c:v>Purchase</c:v>
                </c:pt>
              </c:strCache>
            </c:strRef>
          </c:tx>
          <c:spPr>
            <a:solidFill>
              <a:schemeClr val="accent1"/>
            </a:solidFill>
            <a:ln>
              <a:noFill/>
            </a:ln>
            <a:effectLst/>
          </c:spPr>
          <c:cat>
            <c:strRef>
              <c:f>Sheet4!$A$66:$A$69</c:f>
              <c:strCache>
                <c:ptCount val="3"/>
                <c:pt idx="0">
                  <c:v>Apr</c:v>
                </c:pt>
                <c:pt idx="1">
                  <c:v>May</c:v>
                </c:pt>
                <c:pt idx="2">
                  <c:v>Jun</c:v>
                </c:pt>
              </c:strCache>
            </c:strRef>
          </c:cat>
          <c:val>
            <c:numRef>
              <c:f>Sheet4!$B$66:$B$69</c:f>
              <c:numCache>
                <c:formatCode>[$₹-4009]\ #,##0</c:formatCode>
                <c:ptCount val="3"/>
                <c:pt idx="0">
                  <c:v>551903.28840000008</c:v>
                </c:pt>
                <c:pt idx="1">
                  <c:v>818779.84380000003</c:v>
                </c:pt>
                <c:pt idx="2">
                  <c:v>853981.35840000003</c:v>
                </c:pt>
              </c:numCache>
            </c:numRef>
          </c:val>
          <c:extLst>
            <c:ext xmlns:c16="http://schemas.microsoft.com/office/drawing/2014/chart" uri="{C3380CC4-5D6E-409C-BE32-E72D297353CC}">
              <c16:uniqueId val="{00000000-7CF9-439D-A457-DFC24B11F235}"/>
            </c:ext>
          </c:extLst>
        </c:ser>
        <c:ser>
          <c:idx val="1"/>
          <c:order val="1"/>
          <c:tx>
            <c:strRef>
              <c:f>Sheet4!$C$64:$C$65</c:f>
              <c:strCache>
                <c:ptCount val="1"/>
                <c:pt idx="0">
                  <c:v>Sales</c:v>
                </c:pt>
              </c:strCache>
            </c:strRef>
          </c:tx>
          <c:spPr>
            <a:solidFill>
              <a:schemeClr val="accent2"/>
            </a:solidFill>
            <a:ln>
              <a:noFill/>
            </a:ln>
            <a:effectLst/>
          </c:spPr>
          <c:cat>
            <c:strRef>
              <c:f>Sheet4!$A$66:$A$69</c:f>
              <c:strCache>
                <c:ptCount val="3"/>
                <c:pt idx="0">
                  <c:v>Apr</c:v>
                </c:pt>
                <c:pt idx="1">
                  <c:v>May</c:v>
                </c:pt>
                <c:pt idx="2">
                  <c:v>Jun</c:v>
                </c:pt>
              </c:strCache>
            </c:strRef>
          </c:cat>
          <c:val>
            <c:numRef>
              <c:f>Sheet4!$C$66:$C$69</c:f>
              <c:numCache>
                <c:formatCode>[$₹-4009]\ #,##0</c:formatCode>
                <c:ptCount val="3"/>
                <c:pt idx="0">
                  <c:v>636979.53599999973</c:v>
                </c:pt>
                <c:pt idx="1">
                  <c:v>585991.45799999963</c:v>
                </c:pt>
                <c:pt idx="2">
                  <c:v>684703.87199999974</c:v>
                </c:pt>
              </c:numCache>
            </c:numRef>
          </c:val>
          <c:extLst>
            <c:ext xmlns:c16="http://schemas.microsoft.com/office/drawing/2014/chart" uri="{C3380CC4-5D6E-409C-BE32-E72D297353CC}">
              <c16:uniqueId val="{00000001-7CF9-439D-A457-DFC24B11F235}"/>
            </c:ext>
          </c:extLst>
        </c:ser>
        <c:dLbls>
          <c:showLegendKey val="0"/>
          <c:showVal val="0"/>
          <c:showCatName val="0"/>
          <c:showSerName val="0"/>
          <c:showPercent val="0"/>
          <c:showBubbleSize val="0"/>
        </c:dLbls>
        <c:axId val="470438192"/>
        <c:axId val="470440816"/>
      </c:areaChart>
      <c:catAx>
        <c:axId val="470438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440816"/>
        <c:crosses val="autoZero"/>
        <c:auto val="1"/>
        <c:lblAlgn val="ctr"/>
        <c:lblOffset val="100"/>
        <c:noMultiLvlLbl val="0"/>
      </c:catAx>
      <c:valAx>
        <c:axId val="470440816"/>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438192"/>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38101</xdr:colOff>
      <xdr:row>9</xdr:row>
      <xdr:rowOff>4762</xdr:rowOff>
    </xdr:from>
    <xdr:to>
      <xdr:col>3</xdr:col>
      <xdr:colOff>266701</xdr:colOff>
      <xdr:row>23</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771525</xdr:colOff>
      <xdr:row>25</xdr:row>
      <xdr:rowOff>33337</xdr:rowOff>
    </xdr:from>
    <xdr:to>
      <xdr:col>8</xdr:col>
      <xdr:colOff>66675</xdr:colOff>
      <xdr:row>40</xdr:row>
      <xdr:rowOff>180975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85725</xdr:colOff>
      <xdr:row>42</xdr:row>
      <xdr:rowOff>185737</xdr:rowOff>
    </xdr:from>
    <xdr:to>
      <xdr:col>11</xdr:col>
      <xdr:colOff>200025</xdr:colOff>
      <xdr:row>57</xdr:row>
      <xdr:rowOff>71437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476250</xdr:colOff>
      <xdr:row>62</xdr:row>
      <xdr:rowOff>119062</xdr:rowOff>
    </xdr:from>
    <xdr:to>
      <xdr:col>11</xdr:col>
      <xdr:colOff>514350</xdr:colOff>
      <xdr:row>77</xdr:row>
      <xdr:rowOff>4762</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1933575</xdr:colOff>
      <xdr:row>82</xdr:row>
      <xdr:rowOff>57150</xdr:rowOff>
    </xdr:from>
    <xdr:to>
      <xdr:col>2</xdr:col>
      <xdr:colOff>438150</xdr:colOff>
      <xdr:row>95</xdr:row>
      <xdr:rowOff>104775</xdr:rowOff>
    </xdr:to>
    <mc:AlternateContent xmlns:mc="http://schemas.openxmlformats.org/markup-compatibility/2006" xmlns:a14="http://schemas.microsoft.com/office/drawing/2010/main">
      <mc:Choice Requires="a14">
        <xdr:graphicFrame macro="">
          <xdr:nvGraphicFramePr>
            <xdr:cNvPr id="8" name="transaction type"/>
            <xdr:cNvGraphicFramePr/>
          </xdr:nvGraphicFramePr>
          <xdr:xfrm>
            <a:off x="0" y="0"/>
            <a:ext cx="0" cy="0"/>
          </xdr:xfrm>
          <a:graphic>
            <a:graphicData uri="http://schemas.microsoft.com/office/drawing/2010/slicer">
              <sle:slicer xmlns:sle="http://schemas.microsoft.com/office/drawing/2010/slicer" name="transaction type"/>
            </a:graphicData>
          </a:graphic>
        </xdr:graphicFrame>
      </mc:Choice>
      <mc:Fallback xmlns="">
        <xdr:sp macro="" textlink="">
          <xdr:nvSpPr>
            <xdr:cNvPr id="0" name=""/>
            <xdr:cNvSpPr>
              <a:spLocks noTextEdit="1"/>
            </xdr:cNvSpPr>
          </xdr:nvSpPr>
          <xdr:spPr>
            <a:xfrm>
              <a:off x="1933575" y="15678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xdr:colOff>
      <xdr:row>85</xdr:row>
      <xdr:rowOff>85725</xdr:rowOff>
    </xdr:from>
    <xdr:to>
      <xdr:col>2</xdr:col>
      <xdr:colOff>809625</xdr:colOff>
      <xdr:row>98</xdr:row>
      <xdr:rowOff>133350</xdr:rowOff>
    </xdr:to>
    <mc:AlternateContent xmlns:mc="http://schemas.openxmlformats.org/markup-compatibility/2006" xmlns:a14="http://schemas.microsoft.com/office/drawing/2010/main">
      <mc:Choice Requires="a14">
        <xdr:graphicFrame macro="">
          <xdr:nvGraphicFramePr>
            <xdr:cNvPr id="9" name="custome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2305050" y="16278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428625</xdr:colOff>
      <xdr:row>85</xdr:row>
      <xdr:rowOff>104775</xdr:rowOff>
    </xdr:from>
    <xdr:to>
      <xdr:col>0</xdr:col>
      <xdr:colOff>2257425</xdr:colOff>
      <xdr:row>98</xdr:row>
      <xdr:rowOff>152400</xdr:rowOff>
    </xdr:to>
    <mc:AlternateContent xmlns:mc="http://schemas.openxmlformats.org/markup-compatibility/2006" xmlns:a14="http://schemas.microsoft.com/office/drawing/2010/main">
      <mc:Choice Requires="a14">
        <xdr:graphicFrame macro="">
          <xdr:nvGraphicFramePr>
            <xdr:cNvPr id="10"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428625" y="16297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912.734074537038" createdVersion="6" refreshedVersion="6" minRefreshableVersion="3" recordCount="716">
  <cacheSource type="worksheet">
    <worksheetSource name="Append1"/>
  </cacheSource>
  <cacheFields count="10">
    <cacheField name="Date" numFmtId="14">
      <sharedItems containsSemiMixedTypes="0" containsNonDate="0" containsDate="1" containsString="0" minDate="2025-04-01T00:00:00" maxDate="2025-07-01T00:00:00" count="84">
        <d v="2025-04-01T00:00:00"/>
        <d v="2025-04-02T00:00:00"/>
        <d v="2025-04-04T00:00:00"/>
        <d v="2025-04-05T00:00:00"/>
        <d v="2025-04-06T00:00:00"/>
        <d v="2025-04-07T00:00:00"/>
        <d v="2025-04-08T00:00:00"/>
        <d v="2025-04-09T00:00:00"/>
        <d v="2025-04-11T00:00:00"/>
        <d v="2025-04-12T00:00:00"/>
        <d v="2025-04-13T00:00:00"/>
        <d v="2025-04-14T00:00:00"/>
        <d v="2025-04-15T00:00:00"/>
        <d v="2025-04-16T00:00:00"/>
        <d v="2025-04-18T00:00:00"/>
        <d v="2025-04-19T00:00:00"/>
        <d v="2025-04-20T00:00:00"/>
        <d v="2025-04-21T00:00:00"/>
        <d v="2025-04-22T00:00:00"/>
        <d v="2025-04-23T00:00:00"/>
        <d v="2025-04-25T00:00:00"/>
        <d v="2025-04-26T00:00:00"/>
        <d v="2025-04-27T00:00:00"/>
        <d v="2025-04-28T00:00:00"/>
        <d v="2025-04-29T00:00:00"/>
        <d v="2025-04-30T00:00:00"/>
        <d v="2025-05-01T00:00:00"/>
        <d v="2025-05-02T00:00:00"/>
        <d v="2025-05-03T00:00:00"/>
        <d v="2025-05-04T00:00:00"/>
        <d v="2025-05-05T00:00:00"/>
        <d v="2025-05-06T00:00:00"/>
        <d v="2025-05-07T00:00:00"/>
        <d v="2025-05-09T00:00:00"/>
        <d v="2025-05-10T00:00:00"/>
        <d v="2025-05-11T00:00:00"/>
        <d v="2025-05-12T00:00:00"/>
        <d v="2025-05-13T00:00:00"/>
        <d v="2025-05-14T00:00:00"/>
        <d v="2025-05-16T00:00:00"/>
        <d v="2025-05-17T00:00:00"/>
        <d v="2025-05-18T00:00:00"/>
        <d v="2025-05-19T00:00:00"/>
        <d v="2025-05-20T00:00:00"/>
        <d v="2025-05-21T00:00:00"/>
        <d v="2025-05-23T00:00:00"/>
        <d v="2025-05-24T00:00:00"/>
        <d v="2025-05-25T00:00:00"/>
        <d v="2025-05-26T00:00:00"/>
        <d v="2025-05-27T00:00:00"/>
        <d v="2025-05-28T00:00:00"/>
        <d v="2025-05-30T00:00:00"/>
        <d v="2025-05-31T00:00:00"/>
        <d v="2025-06-01T00:00:00"/>
        <d v="2025-06-02T00:00:00"/>
        <d v="2025-06-03T00:00:00"/>
        <d v="2025-06-04T00:00:00"/>
        <d v="2025-06-06T00:00:00"/>
        <d v="2025-06-07T00:00:00"/>
        <d v="2025-06-08T00:00:00"/>
        <d v="2025-06-09T00:00:00"/>
        <d v="2025-06-10T00:00:00"/>
        <d v="2025-06-11T00:00:00"/>
        <d v="2025-06-13T00:00:00"/>
        <d v="2025-06-14T00:00:00"/>
        <d v="2025-06-15T00:00:00"/>
        <d v="2025-06-16T00:00:00"/>
        <d v="2025-06-17T00:00:00"/>
        <d v="2025-06-18T00:00:00"/>
        <d v="2025-06-20T00:00:00"/>
        <d v="2025-06-21T00:00:00"/>
        <d v="2025-06-22T00:00:00"/>
        <d v="2025-06-23T00:00:00"/>
        <d v="2025-06-24T00:00:00"/>
        <d v="2025-06-25T00:00:00"/>
        <d v="2025-06-27T00:00:00"/>
        <d v="2025-06-28T00:00:00"/>
        <d v="2025-06-29T00:00:00"/>
        <d v="2025-06-30T00:00:00"/>
        <d v="2025-05-15T00:00:00"/>
        <d v="2025-05-22T00:00:00"/>
        <d v="2025-05-29T00:00:00"/>
        <d v="2025-06-12T00:00:00"/>
        <d v="2025-06-26T00:00:00"/>
      </sharedItems>
      <fieldGroup par="9" base="0">
        <rangePr groupBy="days" startDate="2025-04-01T00:00:00" endDate="2025-07-01T00:00:00"/>
        <groupItems count="368">
          <s v="&lt;01/04/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5"/>
        </groupItems>
      </fieldGroup>
    </cacheField>
    <cacheField name="customer" numFmtId="0">
      <sharedItems count="123">
        <s v="MeghrajPrecisionMetals"/>
        <s v="ShreeKalyanIndustries"/>
        <s v="ShubhLabhEngineering"/>
        <s v="DharmarajSteelsPvtLtd"/>
        <s v="ShreeSiddhiMetals"/>
        <s v="PRINCE INDUSTRIES"/>
        <s v="BRajdhanInfraTech"/>
        <s v="TriveniEngineeringPvtLtd"/>
        <s v="AgnivanshPolymers"/>
        <s v="RaghunathMetalWorks"/>
        <s v="JagdambaPowerSystems"/>
        <s v="Om Engineering(Bhosari)"/>
        <s v="PrernaAlloysPvtLtd"/>
        <s v="Ramkrishna Traders"/>
        <s v="RajputanaMetals"/>
        <s v="RatnamInfraMetals"/>
        <s v="RAJ Tool And Hardware"/>
        <s v="MeghdootFoundries"/>
        <s v="IndraprasthFoundries"/>
        <s v="PITRESHWAR AUTOMOBILE"/>
        <s v="PavanputraCastings"/>
        <s v="Pallavi Extrusion &amp; Rubber Products"/>
        <s v="PAMTEK SOLUTION"/>
        <s v="PIONEER ENGINEERING(DEHU)"/>
        <s v="KalpataruMachineries+"/>
        <s v="BholeNathInfraTech"/>
        <s v="DattatrayForgingHouse"/>
        <s v="DeccanAlloysPvtLtd"/>
        <s v="MoryaInfraSteels"/>
        <s v="RELIABLE ENTERPRISES (DR)"/>
        <s v="Shri Ram Lubricants"/>
        <s v="MarudharEngineeringCo."/>
        <s v="Vikas Engineering"/>
        <s v="ManavMetalsPvtLtd"/>
        <s v="VishwakarmaSteelsPvtLtd"/>
        <s v="AryavartSteels"/>
        <s v="Raj Tools ( Talwade)"/>
        <s v="R D ENGINEEERING"/>
        <s v="ParashaktiEngineeringCo."/>
        <s v="AmardeepMetalsPvtLtd"/>
        <s v="SomnathCastings"/>
        <s v="JansevakIndustries"/>
        <s v="NavkarSteels"/>
        <s v="BharatvanshMetals"/>
        <s v="ShreeGaneshCastTech"/>
        <s v="PrathamAlloys"/>
        <s v="Prerana Rubber Industries(Chikhli)"/>
        <s v="SwastikEngineeringWorks"/>
        <s v="SamrudhiEngineeringPvtLtd"/>
        <s v="Shruti Foundry Products"/>
        <s v="BhagirathPowerSystems"/>
        <s v="ShubhamIndustrialCorp"/>
        <s v="JagdambaPowerSystems (Talwade)"/>
        <s v="Perfect Metallurgical Services Pvt Ltd"/>
        <s v="SuryaKiranForgings"/>
        <s v="KalyugEngineeringCo."/>
        <s v="ManoharSteelPvtLtd"/>
        <s v="PARMAR TECHNO FORGE"/>
        <s v="LokmanyaIndustries"/>
        <s v="OmprakashFoundryPvtLtd"/>
        <s v="RudraPrecisionEngineering"/>
        <s v="(cancelled )"/>
        <s v="Om Engineers (SINHGHAD ROAD)"/>
        <s v="Papertube Machine PVT LTD"/>
        <s v="NavjivanSteelAlloys"/>
        <s v="GaurishankarCastTechPvtLtd"/>
        <s v="DhruvInfraBuild"/>
        <s v="Plasto Craft"/>
        <s v="KrishnaEngineeringWorks"/>
        <s v="RajputCastTechPvtLtd"/>
        <s v="Riya Precisions"/>
        <s v="UdaygiriPowerTech"/>
        <s v="AnandMetalWorks"/>
        <s v="Rohit Industries (Talawade)"/>
        <s v="Payas Industries"/>
        <s v="ShivneriPrecisionCast"/>
        <s v="SiddhivinayakFabricators"/>
        <s v="Pooja Engineers"/>
        <s v="Polestar Auto"/>
        <s v="REAL TECH ENGINEERING"/>
        <s v="SHREERAM NETS PVT LTD"/>
        <s v="Perfect Packaging"/>
        <s v="SahyadriEngineering"/>
        <s v="Parimal Tooling System"/>
        <s v="ChandraprabhaFabricators"/>
        <s v="HimalayaTechCastPvtLtd"/>
        <s v="GovindMetalWorks"/>
        <s v="KeshavIndustrialSolutions"/>
        <s v="OMKAR INDUSTRIES"/>
        <s v="NarayanForgingWorks"/>
        <s v="DhanrajEngineeringWorks"/>
        <s v="Rohit Industries"/>
        <s v="OmkarPrecisionTools"/>
        <s v="NarmadaAlloyWorks"/>
        <s v="Shree Lakshmi Traders  "/>
        <s v="Prakash General Stores  "/>
        <s v="Bhagirath Suppliers  "/>
        <s v="Yamuna Trading House "/>
        <s v="Govardhan Trade Links  "/>
        <s v="Siddheshwar Supplies  "/>
        <s v="Triveni Agro Mart  "/>
        <s v="Kuber Distributors "/>
        <s v="Somnath Wholesale Corp "/>
        <s v="Vishwakarma Supplies"/>
        <s v="Ganpati Distributors  "/>
        <s v="Mahadeo Enterprises"/>
        <s v="Rajendra Trading Co"/>
        <s v="Kailash Commodity House"/>
        <s v="Omkar Wholesale Mart "/>
        <s v="Bhagwati Suppliers"/>
        <s v="Suryavanshi Agro Trade "/>
        <s v="Balaji Imports Exports"/>
        <s v="Navkar Wholesale Hub "/>
        <s v="Chandraprabha Trading  "/>
        <s v="Shubhlabh Merchants "/>
        <s v="Kuber Distributors  "/>
        <s v="Gajanan Overseas Mart "/>
        <s v="Rudra Agro Suppliers  "/>
        <s v="Aryavansh Overseas"/>
        <s v="Laxmipati Merchants  "/>
        <s v="Satyam Trade Links  "/>
        <s v="Manohar Commodity Point"/>
        <s v="Rajputana Merchants "/>
      </sharedItems>
    </cacheField>
    <cacheField name="Voucher Type" numFmtId="0">
      <sharedItems count="2">
        <s v="Sales"/>
        <s v="Purchase"/>
      </sharedItems>
    </cacheField>
    <cacheField name="Quantity" numFmtId="0">
      <sharedItems containsSemiMixedTypes="0" containsString="0" containsNumber="1" containsInteger="1" minValue="1" maxValue="27040"/>
    </cacheField>
    <cacheField name="Rate" numFmtId="0">
      <sharedItems containsSemiMixedTypes="0" containsString="0" containsNumber="1" minValue="3.48" maxValue="3660"/>
    </cacheField>
    <cacheField name="Value" numFmtId="0">
      <sharedItems containsString="0" containsBlank="1" containsNumber="1" minValue="195" maxValue="2048280"/>
    </cacheField>
    <cacheField name="Gross Total" numFmtId="0">
      <sharedItems containsString="0" containsBlank="1" containsNumber="1" minValue="230" maxValue="2416970.4"/>
    </cacheField>
    <cacheField name="gst" numFmtId="0">
      <sharedItems containsSemiMixedTypes="0" containsString="0" containsNumber="1" minValue="0" maxValue="368690.39999999997"/>
    </cacheField>
    <cacheField name="transaction type" numFmtId="0">
      <sharedItems count="2">
        <s v="Sales"/>
        <s v="Purchase"/>
      </sharedItems>
    </cacheField>
    <cacheField name="Months" numFmtId="0" databaseField="0">
      <fieldGroup base="0">
        <rangePr groupBy="months" startDate="2025-04-01T00:00:00" endDate="2025-07-01T00:00:00"/>
        <groupItems count="14">
          <s v="&lt;01/04/2025"/>
          <s v="Jan"/>
          <s v="Feb"/>
          <s v="Mar"/>
          <s v="Apr"/>
          <s v="May"/>
          <s v="Jun"/>
          <s v="Jul"/>
          <s v="Aug"/>
          <s v="Sep"/>
          <s v="Oct"/>
          <s v="Nov"/>
          <s v="Dec"/>
          <s v="&gt;01/07/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16">
  <r>
    <x v="0"/>
    <x v="0"/>
    <x v="0"/>
    <n v="30"/>
    <n v="200"/>
    <n v="6000"/>
    <n v="7080"/>
    <n v="1080"/>
    <x v="0"/>
  </r>
  <r>
    <x v="0"/>
    <x v="1"/>
    <x v="0"/>
    <n v="245"/>
    <n v="90.71"/>
    <n v="22225"/>
    <n v="26225.5"/>
    <n v="4000.5"/>
    <x v="0"/>
  </r>
  <r>
    <x v="0"/>
    <x v="2"/>
    <x v="0"/>
    <n v="85"/>
    <n v="100.12"/>
    <n v="8510"/>
    <n v="10041.799999999999"/>
    <n v="1531.8"/>
    <x v="0"/>
  </r>
  <r>
    <x v="0"/>
    <x v="2"/>
    <x v="0"/>
    <n v="220"/>
    <n v="55"/>
    <n v="12100"/>
    <n v="14278"/>
    <n v="2178"/>
    <x v="0"/>
  </r>
  <r>
    <x v="0"/>
    <x v="3"/>
    <x v="0"/>
    <n v="26"/>
    <n v="107"/>
    <n v="2782"/>
    <n v="3282.76"/>
    <n v="500.76"/>
    <x v="0"/>
  </r>
  <r>
    <x v="0"/>
    <x v="4"/>
    <x v="0"/>
    <n v="5"/>
    <n v="60"/>
    <n v="300"/>
    <n v="354"/>
    <n v="54"/>
    <x v="0"/>
  </r>
  <r>
    <x v="0"/>
    <x v="5"/>
    <x v="0"/>
    <n v="1"/>
    <n v="300"/>
    <n v="300"/>
    <n v="354"/>
    <n v="54"/>
    <x v="0"/>
  </r>
  <r>
    <x v="0"/>
    <x v="6"/>
    <x v="0"/>
    <n v="70"/>
    <n v="165"/>
    <n v="11550"/>
    <n v="13629"/>
    <n v="2079"/>
    <x v="0"/>
  </r>
  <r>
    <x v="1"/>
    <x v="7"/>
    <x v="0"/>
    <n v="349"/>
    <n v="88.83"/>
    <n v="31000"/>
    <n v="36580"/>
    <n v="5580"/>
    <x v="0"/>
  </r>
  <r>
    <x v="1"/>
    <x v="8"/>
    <x v="0"/>
    <n v="10"/>
    <n v="125"/>
    <n v="1250"/>
    <n v="1475"/>
    <n v="225"/>
    <x v="0"/>
  </r>
  <r>
    <x v="1"/>
    <x v="9"/>
    <x v="0"/>
    <n v="26"/>
    <n v="115"/>
    <n v="52280"/>
    <n v="61690.400000000001"/>
    <n v="9410.4"/>
    <x v="0"/>
  </r>
  <r>
    <x v="1"/>
    <x v="10"/>
    <x v="0"/>
    <n v="26"/>
    <n v="115"/>
    <n v="38312"/>
    <n v="45208.160000000003"/>
    <n v="6896.16"/>
    <x v="0"/>
  </r>
  <r>
    <x v="1"/>
    <x v="11"/>
    <x v="0"/>
    <n v="52"/>
    <n v="127.5"/>
    <n v="6630"/>
    <n v="7823.4"/>
    <n v="1193.3999999999999"/>
    <x v="0"/>
  </r>
  <r>
    <x v="1"/>
    <x v="12"/>
    <x v="0"/>
    <n v="52"/>
    <n v="137"/>
    <n v="7124"/>
    <n v="8406.32"/>
    <n v="1282.32"/>
    <x v="0"/>
  </r>
  <r>
    <x v="1"/>
    <x v="13"/>
    <x v="0"/>
    <n v="70"/>
    <n v="77.5"/>
    <n v="5425"/>
    <n v="6401.5"/>
    <n v="976.5"/>
    <x v="0"/>
  </r>
  <r>
    <x v="1"/>
    <x v="14"/>
    <x v="0"/>
    <n v="20"/>
    <n v="175"/>
    <n v="3500"/>
    <n v="4130"/>
    <n v="630"/>
    <x v="0"/>
  </r>
  <r>
    <x v="1"/>
    <x v="4"/>
    <x v="0"/>
    <n v="104"/>
    <n v="102"/>
    <n v="10608"/>
    <n v="12517.44"/>
    <n v="1909.4399999999998"/>
    <x v="0"/>
  </r>
  <r>
    <x v="1"/>
    <x v="3"/>
    <x v="0"/>
    <n v="36"/>
    <n v="135"/>
    <n v="4860"/>
    <n v="5734.8"/>
    <n v="874.8"/>
    <x v="0"/>
  </r>
  <r>
    <x v="1"/>
    <x v="2"/>
    <x v="0"/>
    <n v="88"/>
    <n v="118.77"/>
    <n v="10452"/>
    <n v="12333.36"/>
    <n v="1881.36"/>
    <x v="0"/>
  </r>
  <r>
    <x v="2"/>
    <x v="15"/>
    <x v="0"/>
    <n v="630"/>
    <n v="55"/>
    <n v="34650"/>
    <n v="40887"/>
    <n v="6237"/>
    <x v="0"/>
  </r>
  <r>
    <x v="2"/>
    <x v="12"/>
    <x v="0"/>
    <n v="210"/>
    <n v="80"/>
    <n v="16800"/>
    <n v="19824"/>
    <n v="3024"/>
    <x v="0"/>
  </r>
  <r>
    <x v="2"/>
    <x v="4"/>
    <x v="0"/>
    <n v="130"/>
    <n v="115"/>
    <n v="14950"/>
    <n v="17641"/>
    <n v="2691"/>
    <x v="0"/>
  </r>
  <r>
    <x v="2"/>
    <x v="3"/>
    <x v="0"/>
    <n v="210"/>
    <n v="99"/>
    <n v="20790"/>
    <n v="24532.2"/>
    <n v="3742.2"/>
    <x v="0"/>
  </r>
  <r>
    <x v="2"/>
    <x v="16"/>
    <x v="0"/>
    <n v="210"/>
    <n v="75"/>
    <n v="15750"/>
    <n v="18585"/>
    <n v="2835"/>
    <x v="0"/>
  </r>
  <r>
    <x v="2"/>
    <x v="14"/>
    <x v="0"/>
    <n v="20"/>
    <n v="165"/>
    <n v="3300"/>
    <n v="3894"/>
    <n v="594"/>
    <x v="0"/>
  </r>
  <r>
    <x v="2"/>
    <x v="3"/>
    <x v="0"/>
    <n v="26"/>
    <n v="115"/>
    <n v="12870"/>
    <n v="15186.6"/>
    <n v="2316.6"/>
    <x v="0"/>
  </r>
  <r>
    <x v="2"/>
    <x v="17"/>
    <x v="0"/>
    <n v="210"/>
    <n v="80"/>
    <n v="16800"/>
    <n v="19824"/>
    <n v="3024"/>
    <x v="0"/>
  </r>
  <r>
    <x v="2"/>
    <x v="3"/>
    <x v="0"/>
    <n v="28"/>
    <n v="129.29"/>
    <n v="3620"/>
    <n v="4271.6000000000004"/>
    <n v="651.6"/>
    <x v="0"/>
  </r>
  <r>
    <x v="2"/>
    <x v="4"/>
    <x v="0"/>
    <n v="840"/>
    <n v="76.25"/>
    <n v="64050"/>
    <n v="75579"/>
    <n v="11529"/>
    <x v="0"/>
  </r>
  <r>
    <x v="3"/>
    <x v="15"/>
    <x v="0"/>
    <n v="122"/>
    <n v="86.49"/>
    <n v="10552"/>
    <n v="12451.36"/>
    <n v="1899.36"/>
    <x v="0"/>
  </r>
  <r>
    <x v="3"/>
    <x v="2"/>
    <x v="0"/>
    <n v="220"/>
    <n v="55"/>
    <n v="12100"/>
    <n v="14278"/>
    <n v="2178"/>
    <x v="0"/>
  </r>
  <r>
    <x v="3"/>
    <x v="3"/>
    <x v="0"/>
    <n v="420"/>
    <n v="103"/>
    <n v="43260"/>
    <n v="51046.8"/>
    <n v="7786.7999999999993"/>
    <x v="0"/>
  </r>
  <r>
    <x v="3"/>
    <x v="18"/>
    <x v="0"/>
    <n v="63"/>
    <n v="113.57"/>
    <n v="7155"/>
    <n v="8442.9"/>
    <n v="1287.8999999999999"/>
    <x v="0"/>
  </r>
  <r>
    <x v="3"/>
    <x v="15"/>
    <x v="0"/>
    <n v="210"/>
    <n v="62"/>
    <n v="13020"/>
    <n v="15363.6"/>
    <n v="2343.6"/>
    <x v="0"/>
  </r>
  <r>
    <x v="3"/>
    <x v="19"/>
    <x v="0"/>
    <n v="20"/>
    <n v="305"/>
    <n v="6100"/>
    <n v="7198"/>
    <n v="1098"/>
    <x v="0"/>
  </r>
  <r>
    <x v="4"/>
    <x v="1"/>
    <x v="0"/>
    <n v="113"/>
    <n v="112.26"/>
    <n v="12685"/>
    <n v="14968.3"/>
    <n v="2283.2999999999997"/>
    <x v="0"/>
  </r>
  <r>
    <x v="4"/>
    <x v="20"/>
    <x v="0"/>
    <n v="420"/>
    <n v="92"/>
    <n v="38640"/>
    <n v="45595.199999999997"/>
    <n v="6955.2"/>
    <x v="0"/>
  </r>
  <r>
    <x v="4"/>
    <x v="3"/>
    <x v="0"/>
    <n v="35"/>
    <n v="75"/>
    <n v="2625"/>
    <n v="3097.5"/>
    <n v="472.5"/>
    <x v="0"/>
  </r>
  <r>
    <x v="4"/>
    <x v="21"/>
    <x v="0"/>
    <n v="1050"/>
    <n v="62"/>
    <n v="65100"/>
    <n v="76818"/>
    <n v="11718"/>
    <x v="0"/>
  </r>
  <r>
    <x v="4"/>
    <x v="10"/>
    <x v="0"/>
    <n v="26"/>
    <n v="115"/>
    <n v="2412.75"/>
    <n v="2847.0450000000001"/>
    <n v="434.29499999999996"/>
    <x v="0"/>
  </r>
  <r>
    <x v="4"/>
    <x v="22"/>
    <x v="0"/>
    <n v="26"/>
    <n v="108"/>
    <n v="2808"/>
    <n v="3313.44"/>
    <n v="505.44"/>
    <x v="0"/>
  </r>
  <r>
    <x v="4"/>
    <x v="23"/>
    <x v="0"/>
    <n v="50"/>
    <n v="72"/>
    <n v="3600"/>
    <n v="4248"/>
    <n v="648"/>
    <x v="0"/>
  </r>
  <r>
    <x v="4"/>
    <x v="24"/>
    <x v="0"/>
    <n v="2"/>
    <n v="380"/>
    <n v="760"/>
    <n v="896.8"/>
    <n v="136.79999999999998"/>
    <x v="0"/>
  </r>
  <r>
    <x v="4"/>
    <x v="25"/>
    <x v="0"/>
    <n v="26"/>
    <n v="116"/>
    <n v="3016"/>
    <n v="3558.88"/>
    <n v="542.88"/>
    <x v="0"/>
  </r>
  <r>
    <x v="4"/>
    <x v="15"/>
    <x v="0"/>
    <n v="52"/>
    <n v="105"/>
    <n v="5460"/>
    <n v="6442.8"/>
    <n v="982.8"/>
    <x v="0"/>
  </r>
  <r>
    <x v="4"/>
    <x v="26"/>
    <x v="0"/>
    <n v="104"/>
    <n v="120"/>
    <n v="12480"/>
    <n v="14726.4"/>
    <n v="2246.4"/>
    <x v="0"/>
  </r>
  <r>
    <x v="5"/>
    <x v="3"/>
    <x v="0"/>
    <n v="26"/>
    <n v="136"/>
    <n v="3536"/>
    <n v="4172.4799999999996"/>
    <n v="636.48"/>
    <x v="0"/>
  </r>
  <r>
    <x v="5"/>
    <x v="27"/>
    <x v="0"/>
    <n v="211"/>
    <n v="118.39"/>
    <n v="24980"/>
    <n v="29476.400000000001"/>
    <n v="4496.3999999999996"/>
    <x v="0"/>
  </r>
  <r>
    <x v="5"/>
    <x v="1"/>
    <x v="0"/>
    <n v="210"/>
    <n v="120"/>
    <n v="25200"/>
    <n v="29736"/>
    <n v="4536"/>
    <x v="0"/>
  </r>
  <r>
    <x v="5"/>
    <x v="15"/>
    <x v="0"/>
    <n v="26"/>
    <n v="115"/>
    <n v="21580"/>
    <n v="25464.400000000001"/>
    <n v="3884.3999999999996"/>
    <x v="0"/>
  </r>
  <r>
    <x v="5"/>
    <x v="28"/>
    <x v="0"/>
    <n v="5"/>
    <n v="120"/>
    <n v="600"/>
    <n v="708"/>
    <n v="108"/>
    <x v="0"/>
  </r>
  <r>
    <x v="5"/>
    <x v="23"/>
    <x v="0"/>
    <n v="48"/>
    <n v="220"/>
    <n v="10560"/>
    <n v="12460.8"/>
    <n v="1900.8"/>
    <x v="0"/>
  </r>
  <r>
    <x v="5"/>
    <x v="10"/>
    <x v="0"/>
    <n v="26"/>
    <n v="125"/>
    <n v="3250"/>
    <n v="3835"/>
    <n v="585"/>
    <x v="0"/>
  </r>
  <r>
    <x v="5"/>
    <x v="15"/>
    <x v="0"/>
    <n v="52"/>
    <n v="100"/>
    <n v="5200"/>
    <n v="6136"/>
    <n v="936"/>
    <x v="0"/>
  </r>
  <r>
    <x v="6"/>
    <x v="3"/>
    <x v="0"/>
    <n v="210"/>
    <n v="93"/>
    <n v="19530"/>
    <n v="23045.4"/>
    <n v="3515.4"/>
    <x v="0"/>
  </r>
  <r>
    <x v="6"/>
    <x v="3"/>
    <x v="0"/>
    <n v="22"/>
    <n v="90"/>
    <n v="1980"/>
    <n v="2336.4"/>
    <n v="356.4"/>
    <x v="0"/>
  </r>
  <r>
    <x v="6"/>
    <x v="0"/>
    <x v="0"/>
    <n v="5"/>
    <n v="160"/>
    <n v="800"/>
    <n v="944"/>
    <n v="144"/>
    <x v="0"/>
  </r>
  <r>
    <x v="6"/>
    <x v="3"/>
    <x v="0"/>
    <n v="104"/>
    <n v="114.5"/>
    <n v="11908"/>
    <n v="14051.44"/>
    <n v="2143.44"/>
    <x v="0"/>
  </r>
  <r>
    <x v="6"/>
    <x v="0"/>
    <x v="0"/>
    <n v="10"/>
    <n v="160"/>
    <n v="1600"/>
    <n v="1888"/>
    <n v="288"/>
    <x v="0"/>
  </r>
  <r>
    <x v="6"/>
    <x v="3"/>
    <x v="0"/>
    <n v="20"/>
    <n v="110"/>
    <n v="2200"/>
    <n v="2596"/>
    <n v="396"/>
    <x v="0"/>
  </r>
  <r>
    <x v="7"/>
    <x v="10"/>
    <x v="0"/>
    <n v="630"/>
    <n v="75"/>
    <n v="47250"/>
    <n v="55755"/>
    <n v="8505"/>
    <x v="0"/>
  </r>
  <r>
    <x v="7"/>
    <x v="10"/>
    <x v="0"/>
    <n v="66"/>
    <n v="238.97"/>
    <n v="15772"/>
    <n v="18610.96"/>
    <n v="2838.96"/>
    <x v="0"/>
  </r>
  <r>
    <x v="7"/>
    <x v="14"/>
    <x v="0"/>
    <n v="52"/>
    <n v="95"/>
    <n v="4940"/>
    <n v="5829.2"/>
    <n v="889.19999999999993"/>
    <x v="0"/>
  </r>
  <r>
    <x v="7"/>
    <x v="29"/>
    <x v="0"/>
    <n v="20"/>
    <n v="175"/>
    <n v="3500"/>
    <n v="4130"/>
    <n v="630"/>
    <x v="0"/>
  </r>
  <r>
    <x v="7"/>
    <x v="30"/>
    <x v="0"/>
    <n v="236"/>
    <n v="75.42"/>
    <n v="17800"/>
    <n v="21004"/>
    <n v="3204"/>
    <x v="0"/>
  </r>
  <r>
    <x v="7"/>
    <x v="31"/>
    <x v="0"/>
    <n v="26"/>
    <n v="115"/>
    <n v="53940"/>
    <n v="63649.2"/>
    <n v="9709.1999999999989"/>
    <x v="0"/>
  </r>
  <r>
    <x v="7"/>
    <x v="31"/>
    <x v="0"/>
    <n v="420"/>
    <n v="107"/>
    <n v="44940"/>
    <n v="53029.2"/>
    <n v="8089.2"/>
    <x v="0"/>
  </r>
  <r>
    <x v="7"/>
    <x v="15"/>
    <x v="0"/>
    <n v="534"/>
    <n v="56.49"/>
    <n v="30168"/>
    <n v="35598.239999999998"/>
    <n v="5430.24"/>
    <x v="0"/>
  </r>
  <r>
    <x v="7"/>
    <x v="0"/>
    <x v="0"/>
    <n v="210"/>
    <n v="110"/>
    <n v="23100"/>
    <n v="27258"/>
    <n v="4158"/>
    <x v="0"/>
  </r>
  <r>
    <x v="7"/>
    <x v="32"/>
    <x v="0"/>
    <n v="105"/>
    <n v="100"/>
    <n v="10500"/>
    <n v="12390"/>
    <n v="1890"/>
    <x v="0"/>
  </r>
  <r>
    <x v="7"/>
    <x v="33"/>
    <x v="0"/>
    <n v="5"/>
    <n v="195"/>
    <n v="975"/>
    <n v="1150.5"/>
    <n v="175.5"/>
    <x v="0"/>
  </r>
  <r>
    <x v="7"/>
    <x v="3"/>
    <x v="0"/>
    <n v="26"/>
    <n v="107"/>
    <n v="2782"/>
    <n v="3282.76"/>
    <n v="500.76"/>
    <x v="0"/>
  </r>
  <r>
    <x v="7"/>
    <x v="15"/>
    <x v="0"/>
    <n v="26"/>
    <n v="120"/>
    <n v="3120"/>
    <n v="3681.6"/>
    <n v="561.6"/>
    <x v="0"/>
  </r>
  <r>
    <x v="7"/>
    <x v="14"/>
    <x v="0"/>
    <n v="20"/>
    <n v="335"/>
    <n v="6700"/>
    <n v="7906"/>
    <n v="1206"/>
    <x v="0"/>
  </r>
  <r>
    <x v="8"/>
    <x v="2"/>
    <x v="0"/>
    <n v="265"/>
    <n v="55"/>
    <n v="14575"/>
    <n v="17198.5"/>
    <n v="2623.5"/>
    <x v="0"/>
  </r>
  <r>
    <x v="8"/>
    <x v="10"/>
    <x v="0"/>
    <n v="210"/>
    <n v="86"/>
    <n v="18060"/>
    <n v="21310.799999999999"/>
    <n v="3250.7999999999997"/>
    <x v="0"/>
  </r>
  <r>
    <x v="8"/>
    <x v="34"/>
    <x v="0"/>
    <n v="26"/>
    <n v="120"/>
    <n v="3120"/>
    <n v="3681.6"/>
    <n v="561.6"/>
    <x v="0"/>
  </r>
  <r>
    <x v="8"/>
    <x v="0"/>
    <x v="0"/>
    <n v="210"/>
    <n v="110"/>
    <n v="23100"/>
    <n v="27258"/>
    <n v="4158"/>
    <x v="0"/>
  </r>
  <r>
    <x v="8"/>
    <x v="3"/>
    <x v="0"/>
    <n v="35"/>
    <n v="90"/>
    <n v="3150"/>
    <n v="3717"/>
    <n v="567"/>
    <x v="0"/>
  </r>
  <r>
    <x v="8"/>
    <x v="3"/>
    <x v="0"/>
    <n v="52"/>
    <n v="79"/>
    <n v="4108"/>
    <n v="4847.4399999999996"/>
    <n v="739.43999999999994"/>
    <x v="0"/>
  </r>
  <r>
    <x v="8"/>
    <x v="35"/>
    <x v="0"/>
    <n v="25"/>
    <n v="85"/>
    <n v="2125"/>
    <n v="2507.5"/>
    <n v="382.5"/>
    <x v="0"/>
  </r>
  <r>
    <x v="9"/>
    <x v="3"/>
    <x v="0"/>
    <n v="20"/>
    <n v="90"/>
    <n v="1800"/>
    <n v="2124"/>
    <n v="324"/>
    <x v="0"/>
  </r>
  <r>
    <x v="9"/>
    <x v="12"/>
    <x v="0"/>
    <n v="210"/>
    <n v="80"/>
    <n v="16800"/>
    <n v="19824"/>
    <n v="3024"/>
    <x v="0"/>
  </r>
  <r>
    <x v="9"/>
    <x v="15"/>
    <x v="0"/>
    <n v="420"/>
    <n v="55"/>
    <n v="23100"/>
    <n v="27258"/>
    <n v="4158"/>
    <x v="0"/>
  </r>
  <r>
    <x v="9"/>
    <x v="13"/>
    <x v="0"/>
    <n v="105"/>
    <n v="75"/>
    <n v="7875"/>
    <n v="9292.5"/>
    <n v="1417.5"/>
    <x v="0"/>
  </r>
  <r>
    <x v="9"/>
    <x v="3"/>
    <x v="0"/>
    <n v="26"/>
    <n v="125"/>
    <n v="3250"/>
    <n v="3835"/>
    <n v="585"/>
    <x v="0"/>
  </r>
  <r>
    <x v="9"/>
    <x v="15"/>
    <x v="0"/>
    <n v="78"/>
    <n v="99.33"/>
    <n v="7748"/>
    <n v="9142.64"/>
    <n v="1394.6399999999999"/>
    <x v="0"/>
  </r>
  <r>
    <x v="9"/>
    <x v="36"/>
    <x v="0"/>
    <n v="102"/>
    <n v="87.45"/>
    <n v="8920"/>
    <n v="10525.6"/>
    <n v="1605.6"/>
    <x v="0"/>
  </r>
  <r>
    <x v="9"/>
    <x v="37"/>
    <x v="0"/>
    <n v="26"/>
    <n v="120"/>
    <n v="3120"/>
    <n v="3681.6"/>
    <n v="561.6"/>
    <x v="0"/>
  </r>
  <r>
    <x v="9"/>
    <x v="3"/>
    <x v="0"/>
    <n v="262"/>
    <n v="119.58"/>
    <n v="31330"/>
    <n v="36969.4"/>
    <n v="5639.4"/>
    <x v="0"/>
  </r>
  <r>
    <x v="10"/>
    <x v="3"/>
    <x v="0"/>
    <n v="630"/>
    <n v="125"/>
    <n v="78750"/>
    <n v="92925"/>
    <n v="14175"/>
    <x v="0"/>
  </r>
  <r>
    <x v="10"/>
    <x v="33"/>
    <x v="0"/>
    <n v="26"/>
    <n v="115"/>
    <n v="231659.85"/>
    <n v="273358.62300000002"/>
    <n v="41698.773000000001"/>
    <x v="0"/>
  </r>
  <r>
    <x v="10"/>
    <x v="0"/>
    <x v="0"/>
    <n v="5"/>
    <n v="120"/>
    <n v="600"/>
    <n v="708"/>
    <n v="108"/>
    <x v="0"/>
  </r>
  <r>
    <x v="10"/>
    <x v="3"/>
    <x v="0"/>
    <n v="10"/>
    <n v="105"/>
    <n v="1050"/>
    <n v="1239"/>
    <n v="189"/>
    <x v="0"/>
  </r>
  <r>
    <x v="10"/>
    <x v="33"/>
    <x v="0"/>
    <n v="26"/>
    <n v="115"/>
    <n v="115969.2"/>
    <n v="136843.65599999999"/>
    <n v="20874.455999999998"/>
    <x v="0"/>
  </r>
  <r>
    <x v="10"/>
    <x v="1"/>
    <x v="0"/>
    <n v="262"/>
    <n v="95.95"/>
    <n v="25140"/>
    <n v="29665.200000000001"/>
    <n v="4525.2"/>
    <x v="0"/>
  </r>
  <r>
    <x v="10"/>
    <x v="3"/>
    <x v="0"/>
    <n v="50"/>
    <n v="210"/>
    <n v="10500"/>
    <n v="12390"/>
    <n v="1890"/>
    <x v="0"/>
  </r>
  <r>
    <x v="10"/>
    <x v="22"/>
    <x v="0"/>
    <n v="26"/>
    <n v="108"/>
    <n v="2808"/>
    <n v="3313.44"/>
    <n v="505.44"/>
    <x v="0"/>
  </r>
  <r>
    <x v="11"/>
    <x v="38"/>
    <x v="0"/>
    <n v="5"/>
    <n v="130"/>
    <n v="650"/>
    <n v="767"/>
    <n v="117"/>
    <x v="0"/>
  </r>
  <r>
    <x v="11"/>
    <x v="39"/>
    <x v="0"/>
    <n v="2"/>
    <n v="120"/>
    <n v="240"/>
    <n v="283.2"/>
    <n v="43.199999999999996"/>
    <x v="0"/>
  </r>
  <r>
    <x v="11"/>
    <x v="2"/>
    <x v="0"/>
    <n v="78"/>
    <n v="109"/>
    <n v="8502"/>
    <n v="10032.36"/>
    <n v="1530.36"/>
    <x v="0"/>
  </r>
  <r>
    <x v="11"/>
    <x v="40"/>
    <x v="0"/>
    <n v="26"/>
    <n v="165"/>
    <n v="4290"/>
    <n v="5062.2"/>
    <n v="772.19999999999993"/>
    <x v="0"/>
  </r>
  <r>
    <x v="11"/>
    <x v="7"/>
    <x v="0"/>
    <n v="26"/>
    <n v="115"/>
    <n v="11020"/>
    <n v="13003.6"/>
    <n v="1983.6"/>
    <x v="0"/>
  </r>
  <r>
    <x v="11"/>
    <x v="15"/>
    <x v="0"/>
    <n v="52"/>
    <n v="107.5"/>
    <n v="5590"/>
    <n v="6596.2"/>
    <n v="1006.1999999999999"/>
    <x v="0"/>
  </r>
  <r>
    <x v="11"/>
    <x v="15"/>
    <x v="0"/>
    <n v="105"/>
    <n v="92.33"/>
    <n v="9695"/>
    <n v="11440.1"/>
    <n v="1745.1"/>
    <x v="0"/>
  </r>
  <r>
    <x v="12"/>
    <x v="2"/>
    <x v="0"/>
    <n v="220"/>
    <n v="55"/>
    <n v="12100"/>
    <n v="14278"/>
    <n v="2178"/>
    <x v="0"/>
  </r>
  <r>
    <x v="12"/>
    <x v="39"/>
    <x v="0"/>
    <n v="52"/>
    <n v="134"/>
    <n v="6968"/>
    <n v="8222.24"/>
    <n v="1254.24"/>
    <x v="0"/>
  </r>
  <r>
    <x v="12"/>
    <x v="15"/>
    <x v="0"/>
    <n v="52"/>
    <n v="125"/>
    <n v="6500"/>
    <n v="7670"/>
    <n v="1170"/>
    <x v="0"/>
  </r>
  <r>
    <x v="12"/>
    <x v="41"/>
    <x v="0"/>
    <n v="5"/>
    <n v="60"/>
    <n v="300"/>
    <n v="354"/>
    <n v="54"/>
    <x v="0"/>
  </r>
  <r>
    <x v="12"/>
    <x v="14"/>
    <x v="0"/>
    <n v="210"/>
    <n v="76"/>
    <n v="15960"/>
    <n v="18832.8"/>
    <n v="2872.7999999999997"/>
    <x v="0"/>
  </r>
  <r>
    <x v="12"/>
    <x v="42"/>
    <x v="0"/>
    <n v="156"/>
    <n v="109"/>
    <n v="17004"/>
    <n v="20064.72"/>
    <n v="3060.72"/>
    <x v="0"/>
  </r>
  <r>
    <x v="13"/>
    <x v="43"/>
    <x v="0"/>
    <n v="52"/>
    <n v="105"/>
    <n v="5460"/>
    <n v="6442.8"/>
    <n v="982.8"/>
    <x v="0"/>
  </r>
  <r>
    <x v="13"/>
    <x v="39"/>
    <x v="0"/>
    <n v="210"/>
    <n v="90"/>
    <n v="18900"/>
    <n v="22302"/>
    <n v="3402"/>
    <x v="0"/>
  </r>
  <r>
    <x v="13"/>
    <x v="24"/>
    <x v="0"/>
    <n v="210"/>
    <n v="80"/>
    <n v="16800"/>
    <n v="19824"/>
    <n v="3024"/>
    <x v="0"/>
  </r>
  <r>
    <x v="13"/>
    <x v="4"/>
    <x v="0"/>
    <n v="420"/>
    <n v="70"/>
    <n v="29400"/>
    <n v="34692"/>
    <n v="5292"/>
    <x v="0"/>
  </r>
  <r>
    <x v="13"/>
    <x v="33"/>
    <x v="0"/>
    <n v="100"/>
    <n v="195"/>
    <n v="19500"/>
    <n v="23010"/>
    <n v="3510"/>
    <x v="0"/>
  </r>
  <r>
    <x v="13"/>
    <x v="39"/>
    <x v="0"/>
    <n v="26"/>
    <n v="115"/>
    <n v="5920"/>
    <n v="6985.6"/>
    <n v="1065.5999999999999"/>
    <x v="0"/>
  </r>
  <r>
    <x v="13"/>
    <x v="44"/>
    <x v="0"/>
    <n v="26"/>
    <n v="115"/>
    <n v="34400"/>
    <n v="40592"/>
    <n v="6192"/>
    <x v="0"/>
  </r>
  <r>
    <x v="13"/>
    <x v="24"/>
    <x v="0"/>
    <n v="4"/>
    <n v="169.5"/>
    <n v="678"/>
    <n v="800.04"/>
    <n v="122.03999999999999"/>
    <x v="0"/>
  </r>
  <r>
    <x v="13"/>
    <x v="39"/>
    <x v="0"/>
    <n v="210"/>
    <n v="83"/>
    <n v="17430"/>
    <n v="20567.400000000001"/>
    <n v="3137.4"/>
    <x v="0"/>
  </r>
  <r>
    <x v="13"/>
    <x v="24"/>
    <x v="0"/>
    <n v="4"/>
    <n v="168.75"/>
    <n v="675"/>
    <n v="796.5"/>
    <n v="121.5"/>
    <x v="0"/>
  </r>
  <r>
    <x v="14"/>
    <x v="4"/>
    <x v="0"/>
    <n v="210"/>
    <n v="80"/>
    <n v="16800"/>
    <n v="19824"/>
    <n v="3024"/>
    <x v="0"/>
  </r>
  <r>
    <x v="14"/>
    <x v="2"/>
    <x v="0"/>
    <n v="220"/>
    <n v="55"/>
    <n v="12100"/>
    <n v="14278"/>
    <n v="2178"/>
    <x v="0"/>
  </r>
  <r>
    <x v="14"/>
    <x v="15"/>
    <x v="0"/>
    <n v="20"/>
    <n v="75"/>
    <n v="1500"/>
    <n v="1770"/>
    <n v="270"/>
    <x v="0"/>
  </r>
  <r>
    <x v="14"/>
    <x v="45"/>
    <x v="0"/>
    <n v="455"/>
    <n v="65.38"/>
    <n v="29750"/>
    <n v="35105"/>
    <n v="5355"/>
    <x v="0"/>
  </r>
  <r>
    <x v="14"/>
    <x v="46"/>
    <x v="0"/>
    <n v="210"/>
    <n v="115"/>
    <n v="24150"/>
    <n v="28497"/>
    <n v="4347"/>
    <x v="0"/>
  </r>
  <r>
    <x v="14"/>
    <x v="39"/>
    <x v="0"/>
    <n v="26"/>
    <n v="130"/>
    <n v="3380"/>
    <n v="3988.4"/>
    <n v="608.4"/>
    <x v="0"/>
  </r>
  <r>
    <x v="14"/>
    <x v="39"/>
    <x v="0"/>
    <n v="120"/>
    <n v="160"/>
    <n v="19200"/>
    <n v="22656"/>
    <n v="3456"/>
    <x v="0"/>
  </r>
  <r>
    <x v="15"/>
    <x v="10"/>
    <x v="0"/>
    <n v="630"/>
    <n v="75"/>
    <n v="47250"/>
    <n v="55755"/>
    <n v="8505"/>
    <x v="0"/>
  </r>
  <r>
    <x v="15"/>
    <x v="24"/>
    <x v="0"/>
    <n v="210"/>
    <n v="80"/>
    <n v="16800"/>
    <n v="19824"/>
    <n v="3024"/>
    <x v="0"/>
  </r>
  <r>
    <x v="15"/>
    <x v="4"/>
    <x v="0"/>
    <n v="5"/>
    <n v="60"/>
    <n v="300"/>
    <n v="354"/>
    <n v="54"/>
    <x v="0"/>
  </r>
  <r>
    <x v="15"/>
    <x v="33"/>
    <x v="0"/>
    <n v="5"/>
    <n v="180"/>
    <n v="900"/>
    <n v="1062"/>
    <n v="162"/>
    <x v="0"/>
  </r>
  <r>
    <x v="15"/>
    <x v="39"/>
    <x v="0"/>
    <n v="840"/>
    <n v="75.19"/>
    <n v="63160"/>
    <n v="74528.800000000003"/>
    <n v="11368.8"/>
    <x v="0"/>
  </r>
  <r>
    <x v="16"/>
    <x v="15"/>
    <x v="0"/>
    <n v="420"/>
    <n v="55"/>
    <n v="23100"/>
    <n v="27258"/>
    <n v="4158"/>
    <x v="0"/>
  </r>
  <r>
    <x v="16"/>
    <x v="47"/>
    <x v="0"/>
    <n v="20"/>
    <n v="125"/>
    <n v="2500"/>
    <n v="2950"/>
    <n v="450"/>
    <x v="0"/>
  </r>
  <r>
    <x v="16"/>
    <x v="4"/>
    <x v="0"/>
    <n v="210"/>
    <n v="95"/>
    <n v="19950"/>
    <n v="23541"/>
    <n v="3591"/>
    <x v="0"/>
  </r>
  <r>
    <x v="16"/>
    <x v="10"/>
    <x v="0"/>
    <n v="240"/>
    <n v="90.5"/>
    <n v="21720"/>
    <n v="25629.599999999999"/>
    <n v="3909.6"/>
    <x v="0"/>
  </r>
  <r>
    <x v="16"/>
    <x v="39"/>
    <x v="0"/>
    <n v="26"/>
    <n v="125"/>
    <n v="3250"/>
    <n v="3835"/>
    <n v="585"/>
    <x v="0"/>
  </r>
  <r>
    <x v="16"/>
    <x v="15"/>
    <x v="0"/>
    <n v="5"/>
    <n v="280"/>
    <n v="1400"/>
    <n v="1652"/>
    <n v="252"/>
    <x v="0"/>
  </r>
  <r>
    <x v="16"/>
    <x v="2"/>
    <x v="0"/>
    <n v="35"/>
    <n v="90"/>
    <n v="3150"/>
    <n v="3717"/>
    <n v="567"/>
    <x v="0"/>
  </r>
  <r>
    <x v="16"/>
    <x v="48"/>
    <x v="0"/>
    <n v="26"/>
    <n v="115"/>
    <n v="53150"/>
    <n v="62717"/>
    <n v="9567"/>
    <x v="0"/>
  </r>
  <r>
    <x v="16"/>
    <x v="39"/>
    <x v="0"/>
    <n v="10"/>
    <n v="125"/>
    <n v="1250"/>
    <n v="1475"/>
    <n v="225"/>
    <x v="0"/>
  </r>
  <r>
    <x v="16"/>
    <x v="15"/>
    <x v="0"/>
    <n v="52"/>
    <n v="105"/>
    <n v="5460"/>
    <n v="6442.8"/>
    <n v="982.8"/>
    <x v="0"/>
  </r>
  <r>
    <x v="17"/>
    <x v="5"/>
    <x v="0"/>
    <n v="52"/>
    <n v="110"/>
    <n v="5720"/>
    <n v="6749.6"/>
    <n v="1029.5999999999999"/>
    <x v="0"/>
  </r>
  <r>
    <x v="17"/>
    <x v="30"/>
    <x v="0"/>
    <n v="420"/>
    <n v="73"/>
    <n v="30660"/>
    <n v="36178.800000000003"/>
    <n v="5518.8"/>
    <x v="0"/>
  </r>
  <r>
    <x v="17"/>
    <x v="14"/>
    <x v="0"/>
    <n v="210"/>
    <n v="86"/>
    <n v="18060"/>
    <n v="21310.799999999999"/>
    <n v="3250.7999999999997"/>
    <x v="0"/>
  </r>
  <r>
    <x v="17"/>
    <x v="39"/>
    <x v="0"/>
    <n v="26"/>
    <n v="79"/>
    <n v="2054"/>
    <n v="2423.7199999999998"/>
    <n v="369.71999999999997"/>
    <x v="0"/>
  </r>
  <r>
    <x v="17"/>
    <x v="10"/>
    <x v="0"/>
    <n v="266"/>
    <n v="117.78"/>
    <n v="31330"/>
    <n v="36969.4"/>
    <n v="5639.4"/>
    <x v="0"/>
  </r>
  <r>
    <x v="17"/>
    <x v="49"/>
    <x v="0"/>
    <n v="210"/>
    <n v="70"/>
    <n v="14700"/>
    <n v="17346"/>
    <n v="2646"/>
    <x v="0"/>
  </r>
  <r>
    <x v="17"/>
    <x v="50"/>
    <x v="0"/>
    <n v="310"/>
    <n v="98.97"/>
    <n v="30680"/>
    <n v="36202.400000000001"/>
    <n v="5522.4"/>
    <x v="0"/>
  </r>
  <r>
    <x v="17"/>
    <x v="15"/>
    <x v="0"/>
    <n v="208"/>
    <n v="85"/>
    <n v="17680"/>
    <n v="20862.400000000001"/>
    <n v="3182.4"/>
    <x v="0"/>
  </r>
  <r>
    <x v="17"/>
    <x v="2"/>
    <x v="0"/>
    <n v="100"/>
    <n v="104.1"/>
    <n v="10410"/>
    <n v="12283.8"/>
    <n v="1873.8"/>
    <x v="0"/>
  </r>
  <r>
    <x v="17"/>
    <x v="39"/>
    <x v="0"/>
    <n v="52"/>
    <n v="115"/>
    <n v="5980"/>
    <n v="7056.4"/>
    <n v="1076.3999999999999"/>
    <x v="0"/>
  </r>
  <r>
    <x v="17"/>
    <x v="2"/>
    <x v="0"/>
    <n v="150"/>
    <n v="163"/>
    <n v="24450"/>
    <n v="28851"/>
    <n v="4401"/>
    <x v="0"/>
  </r>
  <r>
    <x v="17"/>
    <x v="39"/>
    <x v="0"/>
    <n v="52"/>
    <n v="192"/>
    <n v="9984"/>
    <n v="11781.119999999999"/>
    <n v="1797.12"/>
    <x v="0"/>
  </r>
  <r>
    <x v="17"/>
    <x v="39"/>
    <x v="0"/>
    <n v="26"/>
    <n v="115"/>
    <n v="1090"/>
    <n v="1286.2"/>
    <n v="196.2"/>
    <x v="0"/>
  </r>
  <r>
    <x v="18"/>
    <x v="39"/>
    <x v="0"/>
    <n v="2"/>
    <n v="220"/>
    <n v="440"/>
    <n v="519.20000000000005"/>
    <n v="79.2"/>
    <x v="0"/>
  </r>
  <r>
    <x v="18"/>
    <x v="51"/>
    <x v="0"/>
    <n v="52"/>
    <n v="130"/>
    <n v="6760"/>
    <n v="7976.8"/>
    <n v="1216.8"/>
    <x v="0"/>
  </r>
  <r>
    <x v="18"/>
    <x v="1"/>
    <x v="0"/>
    <n v="297"/>
    <n v="95.84"/>
    <n v="28465"/>
    <n v="33588.699999999997"/>
    <n v="5123.7"/>
    <x v="0"/>
  </r>
  <r>
    <x v="18"/>
    <x v="13"/>
    <x v="0"/>
    <n v="70"/>
    <n v="77.5"/>
    <n v="5425"/>
    <n v="6401.5"/>
    <n v="976.5"/>
    <x v="0"/>
  </r>
  <r>
    <x v="18"/>
    <x v="52"/>
    <x v="0"/>
    <n v="26"/>
    <n v="115"/>
    <n v="11375"/>
    <n v="13422.5"/>
    <n v="2047.5"/>
    <x v="0"/>
  </r>
  <r>
    <x v="18"/>
    <x v="4"/>
    <x v="0"/>
    <n v="10"/>
    <n v="60"/>
    <n v="600"/>
    <n v="708"/>
    <n v="108"/>
    <x v="0"/>
  </r>
  <r>
    <x v="18"/>
    <x v="15"/>
    <x v="0"/>
    <n v="70"/>
    <n v="62"/>
    <n v="4340"/>
    <n v="5121.2"/>
    <n v="781.19999999999993"/>
    <x v="0"/>
  </r>
  <r>
    <x v="18"/>
    <x v="53"/>
    <x v="0"/>
    <n v="5"/>
    <n v="90"/>
    <n v="450"/>
    <n v="531"/>
    <n v="81"/>
    <x v="0"/>
  </r>
  <r>
    <x v="18"/>
    <x v="54"/>
    <x v="0"/>
    <n v="26"/>
    <n v="130"/>
    <n v="3380"/>
    <n v="3988.4"/>
    <n v="608.4"/>
    <x v="0"/>
  </r>
  <r>
    <x v="18"/>
    <x v="4"/>
    <x v="0"/>
    <n v="78"/>
    <n v="120"/>
    <n v="9360"/>
    <n v="11044.8"/>
    <n v="1684.8"/>
    <x v="0"/>
  </r>
  <r>
    <x v="18"/>
    <x v="55"/>
    <x v="0"/>
    <n v="26"/>
    <n v="210"/>
    <n v="5460"/>
    <n v="6442.8"/>
    <n v="982.8"/>
    <x v="0"/>
  </r>
  <r>
    <x v="19"/>
    <x v="2"/>
    <x v="0"/>
    <n v="220"/>
    <n v="55"/>
    <n v="12100"/>
    <n v="14278"/>
    <n v="2178"/>
    <x v="0"/>
  </r>
  <r>
    <x v="19"/>
    <x v="33"/>
    <x v="0"/>
    <n v="60"/>
    <n v="320"/>
    <n v="19200"/>
    <n v="22656"/>
    <n v="3456"/>
    <x v="0"/>
  </r>
  <r>
    <x v="19"/>
    <x v="56"/>
    <x v="0"/>
    <n v="10"/>
    <n v="120"/>
    <n v="1200"/>
    <n v="1416"/>
    <n v="216"/>
    <x v="0"/>
  </r>
  <r>
    <x v="19"/>
    <x v="57"/>
    <x v="0"/>
    <n v="26"/>
    <n v="115"/>
    <n v="440"/>
    <n v="519.20000000000005"/>
    <n v="79.2"/>
    <x v="0"/>
  </r>
  <r>
    <x v="19"/>
    <x v="39"/>
    <x v="0"/>
    <n v="2"/>
    <n v="282"/>
    <n v="564"/>
    <n v="665.52"/>
    <n v="101.52"/>
    <x v="0"/>
  </r>
  <r>
    <x v="19"/>
    <x v="24"/>
    <x v="0"/>
    <n v="4"/>
    <n v="245"/>
    <n v="980"/>
    <n v="1156.4000000000001"/>
    <n v="176.4"/>
    <x v="0"/>
  </r>
  <r>
    <x v="19"/>
    <x v="15"/>
    <x v="0"/>
    <n v="210"/>
    <n v="62"/>
    <n v="13020"/>
    <n v="15363.6"/>
    <n v="2343.6"/>
    <x v="0"/>
  </r>
  <r>
    <x v="19"/>
    <x v="54"/>
    <x v="0"/>
    <n v="30"/>
    <n v="175"/>
    <n v="5250"/>
    <n v="6195"/>
    <n v="945"/>
    <x v="0"/>
  </r>
  <r>
    <x v="19"/>
    <x v="4"/>
    <x v="0"/>
    <n v="26"/>
    <n v="115"/>
    <n v="2990"/>
    <n v="3528.2"/>
    <n v="538.19999999999993"/>
    <x v="0"/>
  </r>
  <r>
    <x v="19"/>
    <x v="39"/>
    <x v="0"/>
    <n v="2"/>
    <n v="200"/>
    <n v="400"/>
    <n v="472"/>
    <n v="72"/>
    <x v="0"/>
  </r>
  <r>
    <x v="20"/>
    <x v="5"/>
    <x v="0"/>
    <n v="31"/>
    <n v="111.61"/>
    <n v="3460"/>
    <n v="4082.8"/>
    <n v="622.79999999999995"/>
    <x v="0"/>
  </r>
  <r>
    <x v="20"/>
    <x v="4"/>
    <x v="0"/>
    <n v="139"/>
    <n v="98.98"/>
    <n v="13758"/>
    <n v="16234.44"/>
    <n v="2476.44"/>
    <x v="0"/>
  </r>
  <r>
    <x v="20"/>
    <x v="39"/>
    <x v="0"/>
    <n v="262"/>
    <n v="128.81"/>
    <n v="33748"/>
    <n v="39822.639999999999"/>
    <n v="6074.6399999999994"/>
    <x v="0"/>
  </r>
  <r>
    <x v="20"/>
    <x v="5"/>
    <x v="0"/>
    <n v="26"/>
    <n v="110"/>
    <n v="2860"/>
    <n v="3374.8"/>
    <n v="514.79999999999995"/>
    <x v="0"/>
  </r>
  <r>
    <x v="20"/>
    <x v="39"/>
    <x v="0"/>
    <n v="78"/>
    <n v="192"/>
    <n v="14976"/>
    <n v="17671.68"/>
    <n v="2695.68"/>
    <x v="0"/>
  </r>
  <r>
    <x v="20"/>
    <x v="23"/>
    <x v="0"/>
    <n v="210"/>
    <n v="100"/>
    <n v="21000"/>
    <n v="24780"/>
    <n v="3780"/>
    <x v="0"/>
  </r>
  <r>
    <x v="20"/>
    <x v="58"/>
    <x v="0"/>
    <n v="35"/>
    <n v="118"/>
    <n v="4130"/>
    <n v="4873.3999999999996"/>
    <n v="743.4"/>
    <x v="0"/>
  </r>
  <r>
    <x v="20"/>
    <x v="10"/>
    <x v="0"/>
    <n v="26"/>
    <n v="115"/>
    <n v="31620"/>
    <n v="37311.599999999999"/>
    <n v="5691.5999999999995"/>
    <x v="0"/>
  </r>
  <r>
    <x v="20"/>
    <x v="39"/>
    <x v="0"/>
    <n v="3150"/>
    <n v="61"/>
    <n v="192150"/>
    <n v="226737"/>
    <n v="34587"/>
    <x v="0"/>
  </r>
  <r>
    <x v="20"/>
    <x v="14"/>
    <x v="0"/>
    <n v="210"/>
    <n v="104"/>
    <n v="21840"/>
    <n v="25771.200000000001"/>
    <n v="3931.2"/>
    <x v="0"/>
  </r>
  <r>
    <x v="20"/>
    <x v="39"/>
    <x v="0"/>
    <n v="26"/>
    <n v="120"/>
    <n v="3120"/>
    <n v="3681.6"/>
    <n v="561.6"/>
    <x v="0"/>
  </r>
  <r>
    <x v="20"/>
    <x v="10"/>
    <x v="0"/>
    <n v="35"/>
    <n v="90"/>
    <n v="3150"/>
    <n v="3717"/>
    <n v="567"/>
    <x v="0"/>
  </r>
  <r>
    <x v="21"/>
    <x v="39"/>
    <x v="0"/>
    <n v="26"/>
    <n v="79"/>
    <n v="2054"/>
    <n v="2423.7199999999998"/>
    <n v="369.71999999999997"/>
    <x v="0"/>
  </r>
  <r>
    <x v="21"/>
    <x v="59"/>
    <x v="0"/>
    <n v="26"/>
    <n v="100"/>
    <n v="2600"/>
    <n v="3068"/>
    <n v="468"/>
    <x v="0"/>
  </r>
  <r>
    <x v="21"/>
    <x v="27"/>
    <x v="0"/>
    <n v="26"/>
    <n v="112"/>
    <n v="2912"/>
    <n v="3436.16"/>
    <n v="524.16"/>
    <x v="0"/>
  </r>
  <r>
    <x v="21"/>
    <x v="39"/>
    <x v="0"/>
    <n v="52"/>
    <n v="120"/>
    <n v="6240"/>
    <n v="7363.2"/>
    <n v="1123.2"/>
    <x v="0"/>
  </r>
  <r>
    <x v="21"/>
    <x v="12"/>
    <x v="0"/>
    <n v="240"/>
    <n v="93.13"/>
    <n v="22350"/>
    <n v="26373"/>
    <n v="4023"/>
    <x v="0"/>
  </r>
  <r>
    <x v="21"/>
    <x v="39"/>
    <x v="0"/>
    <n v="26"/>
    <n v="132"/>
    <n v="3432"/>
    <n v="4049.76"/>
    <n v="617.76"/>
    <x v="0"/>
  </r>
  <r>
    <x v="21"/>
    <x v="39"/>
    <x v="0"/>
    <n v="210"/>
    <n v="105"/>
    <n v="22050"/>
    <n v="26019"/>
    <n v="3969"/>
    <x v="0"/>
  </r>
  <r>
    <x v="21"/>
    <x v="39"/>
    <x v="0"/>
    <n v="20"/>
    <n v="90"/>
    <n v="1800"/>
    <n v="2124"/>
    <n v="324"/>
    <x v="0"/>
  </r>
  <r>
    <x v="21"/>
    <x v="15"/>
    <x v="0"/>
    <n v="78"/>
    <n v="196.67"/>
    <n v="15340"/>
    <n v="18101.2"/>
    <n v="2761.2"/>
    <x v="0"/>
  </r>
  <r>
    <x v="21"/>
    <x v="10"/>
    <x v="0"/>
    <n v="36"/>
    <n v="108"/>
    <n v="3888"/>
    <n v="4587.84"/>
    <n v="699.83999999999992"/>
    <x v="0"/>
  </r>
  <r>
    <x v="21"/>
    <x v="39"/>
    <x v="0"/>
    <n v="65"/>
    <n v="93.46"/>
    <n v="6075"/>
    <n v="7168.5"/>
    <n v="1093.5"/>
    <x v="0"/>
  </r>
  <r>
    <x v="22"/>
    <x v="12"/>
    <x v="0"/>
    <n v="210"/>
    <n v="80"/>
    <n v="16800"/>
    <n v="19824"/>
    <n v="3024"/>
    <x v="0"/>
  </r>
  <r>
    <x v="22"/>
    <x v="33"/>
    <x v="0"/>
    <n v="405"/>
    <n v="176.78"/>
    <n v="71595"/>
    <n v="84482.1"/>
    <n v="12887.1"/>
    <x v="0"/>
  </r>
  <r>
    <x v="22"/>
    <x v="60"/>
    <x v="0"/>
    <n v="52"/>
    <n v="120"/>
    <n v="6240"/>
    <n v="7363.2"/>
    <n v="1123.2"/>
    <x v="0"/>
  </r>
  <r>
    <x v="22"/>
    <x v="39"/>
    <x v="0"/>
    <n v="420"/>
    <n v="71"/>
    <n v="29820"/>
    <n v="35187.599999999999"/>
    <n v="5367.5999999999995"/>
    <x v="0"/>
  </r>
  <r>
    <x v="22"/>
    <x v="39"/>
    <x v="0"/>
    <n v="31"/>
    <n v="118.06"/>
    <n v="3660"/>
    <n v="4318.8"/>
    <n v="658.8"/>
    <x v="0"/>
  </r>
  <r>
    <x v="22"/>
    <x v="15"/>
    <x v="0"/>
    <n v="52"/>
    <n v="125"/>
    <n v="6500"/>
    <n v="7670"/>
    <n v="1170"/>
    <x v="0"/>
  </r>
  <r>
    <x v="22"/>
    <x v="15"/>
    <x v="0"/>
    <n v="70"/>
    <n v="105"/>
    <n v="7350"/>
    <n v="8673"/>
    <n v="1323"/>
    <x v="0"/>
  </r>
  <r>
    <x v="22"/>
    <x v="61"/>
    <x v="0"/>
    <n v="26"/>
    <n v="115"/>
    <n v="2990"/>
    <n v="3528.2"/>
    <n v="538.19999999999993"/>
    <x v="0"/>
  </r>
  <r>
    <x v="22"/>
    <x v="39"/>
    <x v="0"/>
    <n v="26"/>
    <n v="115"/>
    <n v="1381.4"/>
    <n v="1630"/>
    <n v="248.65200000000002"/>
    <x v="0"/>
  </r>
  <r>
    <x v="22"/>
    <x v="62"/>
    <x v="0"/>
    <n v="78"/>
    <n v="147.66999999999999"/>
    <n v="11518"/>
    <n v="13591"/>
    <n v="2073.2399999999998"/>
    <x v="0"/>
  </r>
  <r>
    <x v="23"/>
    <x v="14"/>
    <x v="0"/>
    <n v="78"/>
    <n v="95"/>
    <n v="7410"/>
    <n v="8744"/>
    <n v="1333.8"/>
    <x v="0"/>
  </r>
  <r>
    <x v="24"/>
    <x v="14"/>
    <x v="0"/>
    <n v="630"/>
    <n v="79.33"/>
    <n v="49980"/>
    <n v="58976"/>
    <n v="8996.4"/>
    <x v="0"/>
  </r>
  <r>
    <x v="24"/>
    <x v="31"/>
    <x v="0"/>
    <n v="78"/>
    <n v="120"/>
    <n v="9360"/>
    <n v="11045"/>
    <n v="1684.8"/>
    <x v="0"/>
  </r>
  <r>
    <x v="24"/>
    <x v="39"/>
    <x v="0"/>
    <n v="130"/>
    <n v="114.4"/>
    <n v="14872"/>
    <n v="17549"/>
    <n v="2676.96"/>
    <x v="0"/>
  </r>
  <r>
    <x v="24"/>
    <x v="10"/>
    <x v="0"/>
    <n v="25"/>
    <n v="70"/>
    <n v="1750"/>
    <n v="2065"/>
    <n v="315"/>
    <x v="0"/>
  </r>
  <r>
    <x v="24"/>
    <x v="15"/>
    <x v="0"/>
    <n v="104"/>
    <n v="107.5"/>
    <n v="11180"/>
    <n v="13192"/>
    <n v="2012.3999999999999"/>
    <x v="0"/>
  </r>
  <r>
    <x v="24"/>
    <x v="39"/>
    <x v="0"/>
    <n v="26"/>
    <n v="136"/>
    <n v="3536"/>
    <n v="4172"/>
    <n v="636.48"/>
    <x v="0"/>
  </r>
  <r>
    <x v="24"/>
    <x v="39"/>
    <x v="0"/>
    <n v="20"/>
    <n v="98"/>
    <n v="1960"/>
    <n v="2313"/>
    <n v="352.8"/>
    <x v="0"/>
  </r>
  <r>
    <x v="24"/>
    <x v="20"/>
    <x v="0"/>
    <n v="760"/>
    <n v="93.88"/>
    <n v="71350"/>
    <n v="84193"/>
    <n v="12843"/>
    <x v="0"/>
  </r>
  <r>
    <x v="24"/>
    <x v="39"/>
    <x v="0"/>
    <n v="26"/>
    <n v="140"/>
    <n v="3640"/>
    <n v="4295"/>
    <n v="655.19999999999993"/>
    <x v="0"/>
  </r>
  <r>
    <x v="25"/>
    <x v="0"/>
    <x v="0"/>
    <n v="236"/>
    <n v="126.57"/>
    <n v="29870"/>
    <n v="35247"/>
    <n v="5376.5999999999995"/>
    <x v="0"/>
  </r>
  <r>
    <x v="25"/>
    <x v="30"/>
    <x v="0"/>
    <n v="236"/>
    <n v="95.89"/>
    <n v="22630"/>
    <n v="26703"/>
    <n v="4073.3999999999996"/>
    <x v="0"/>
  </r>
  <r>
    <x v="25"/>
    <x v="39"/>
    <x v="0"/>
    <n v="26"/>
    <n v="250"/>
    <n v="6500"/>
    <n v="7670"/>
    <n v="1170"/>
    <x v="0"/>
  </r>
  <r>
    <x v="25"/>
    <x v="48"/>
    <x v="0"/>
    <n v="260"/>
    <n v="95"/>
    <n v="24700"/>
    <n v="29146"/>
    <n v="4446"/>
    <x v="0"/>
  </r>
  <r>
    <x v="25"/>
    <x v="4"/>
    <x v="0"/>
    <n v="210"/>
    <n v="80"/>
    <n v="16800"/>
    <n v="19824"/>
    <n v="3024"/>
    <x v="0"/>
  </r>
  <r>
    <x v="26"/>
    <x v="61"/>
    <x v="0"/>
    <n v="26"/>
    <n v="115"/>
    <m/>
    <m/>
    <n v="0"/>
    <x v="0"/>
  </r>
  <r>
    <x v="26"/>
    <x v="2"/>
    <x v="0"/>
    <n v="220"/>
    <n v="55"/>
    <n v="12100"/>
    <n v="14278"/>
    <n v="2178"/>
    <x v="0"/>
  </r>
  <r>
    <x v="27"/>
    <x v="2"/>
    <x v="0"/>
    <n v="78"/>
    <n v="109"/>
    <n v="8502"/>
    <n v="10032"/>
    <n v="1530.36"/>
    <x v="0"/>
  </r>
  <r>
    <x v="27"/>
    <x v="63"/>
    <x v="0"/>
    <n v="624"/>
    <n v="105"/>
    <n v="65520"/>
    <n v="77314"/>
    <n v="11793.6"/>
    <x v="0"/>
  </r>
  <r>
    <x v="27"/>
    <x v="1"/>
    <x v="0"/>
    <n v="297"/>
    <n v="95.84"/>
    <n v="28465"/>
    <n v="33589"/>
    <n v="5123.7"/>
    <x v="0"/>
  </r>
  <r>
    <x v="27"/>
    <x v="15"/>
    <x v="0"/>
    <n v="420"/>
    <n v="55"/>
    <n v="23100"/>
    <n v="27258"/>
    <n v="4158"/>
    <x v="0"/>
  </r>
  <r>
    <x v="27"/>
    <x v="14"/>
    <x v="0"/>
    <n v="880"/>
    <n v="80.05"/>
    <n v="70440"/>
    <n v="83119"/>
    <n v="12679.199999999999"/>
    <x v="0"/>
  </r>
  <r>
    <x v="27"/>
    <x v="25"/>
    <x v="0"/>
    <n v="52"/>
    <n v="112"/>
    <n v="5824"/>
    <n v="6872"/>
    <n v="1048.32"/>
    <x v="0"/>
  </r>
  <r>
    <x v="27"/>
    <x v="10"/>
    <x v="0"/>
    <n v="630"/>
    <n v="75"/>
    <n v="47250"/>
    <n v="55755"/>
    <n v="8505"/>
    <x v="0"/>
  </r>
  <r>
    <x v="27"/>
    <x v="39"/>
    <x v="0"/>
    <n v="78"/>
    <n v="192"/>
    <n v="14976"/>
    <n v="17672"/>
    <n v="2695.68"/>
    <x v="0"/>
  </r>
  <r>
    <x v="27"/>
    <x v="39"/>
    <x v="0"/>
    <n v="5"/>
    <n v="71"/>
    <n v="355"/>
    <n v="419"/>
    <n v="63.9"/>
    <x v="0"/>
  </r>
  <r>
    <x v="27"/>
    <x v="64"/>
    <x v="0"/>
    <n v="105"/>
    <n v="83"/>
    <n v="8715"/>
    <n v="10284"/>
    <n v="1568.7"/>
    <x v="0"/>
  </r>
  <r>
    <x v="28"/>
    <x v="65"/>
    <x v="0"/>
    <n v="5"/>
    <n v="180"/>
    <n v="900"/>
    <n v="1062"/>
    <n v="162"/>
    <x v="0"/>
  </r>
  <r>
    <x v="28"/>
    <x v="7"/>
    <x v="0"/>
    <n v="302"/>
    <n v="85.33"/>
    <n v="25770"/>
    <n v="30409"/>
    <n v="4638.5999999999995"/>
    <x v="0"/>
  </r>
  <r>
    <x v="28"/>
    <x v="10"/>
    <x v="0"/>
    <n v="26"/>
    <n v="105"/>
    <n v="2730"/>
    <n v="3221"/>
    <n v="491.4"/>
    <x v="0"/>
  </r>
  <r>
    <x v="28"/>
    <x v="1"/>
    <x v="0"/>
    <n v="78"/>
    <n v="150"/>
    <n v="11700"/>
    <n v="13806"/>
    <n v="2106"/>
    <x v="0"/>
  </r>
  <r>
    <x v="28"/>
    <x v="66"/>
    <x v="0"/>
    <n v="100"/>
    <n v="72"/>
    <n v="7200"/>
    <n v="8496"/>
    <n v="1296"/>
    <x v="0"/>
  </r>
  <r>
    <x v="28"/>
    <x v="65"/>
    <x v="0"/>
    <n v="50"/>
    <n v="64"/>
    <n v="3200"/>
    <n v="3776"/>
    <n v="576"/>
    <x v="0"/>
  </r>
  <r>
    <x v="29"/>
    <x v="65"/>
    <x v="0"/>
    <n v="5250"/>
    <n v="61"/>
    <n v="320250"/>
    <n v="377895"/>
    <n v="57645"/>
    <x v="0"/>
  </r>
  <r>
    <x v="29"/>
    <x v="65"/>
    <x v="0"/>
    <n v="52"/>
    <n v="107"/>
    <n v="5564"/>
    <n v="6566"/>
    <n v="1001.52"/>
    <x v="0"/>
  </r>
  <r>
    <x v="29"/>
    <x v="23"/>
    <x v="0"/>
    <n v="26"/>
    <n v="115"/>
    <n v="11560"/>
    <n v="13641"/>
    <n v="2080.7999999999997"/>
    <x v="0"/>
  </r>
  <r>
    <x v="29"/>
    <x v="22"/>
    <x v="0"/>
    <n v="26"/>
    <n v="108"/>
    <n v="2808"/>
    <n v="3313"/>
    <n v="505.44"/>
    <x v="0"/>
  </r>
  <r>
    <x v="29"/>
    <x v="15"/>
    <x v="0"/>
    <n v="70"/>
    <n v="62"/>
    <n v="4340"/>
    <n v="5121"/>
    <n v="781.19999999999993"/>
    <x v="0"/>
  </r>
  <r>
    <x v="30"/>
    <x v="23"/>
    <x v="0"/>
    <n v="10"/>
    <n v="200"/>
    <n v="2000"/>
    <n v="2360"/>
    <n v="360"/>
    <x v="0"/>
  </r>
  <r>
    <x v="30"/>
    <x v="2"/>
    <x v="0"/>
    <n v="220"/>
    <n v="55"/>
    <n v="12100"/>
    <n v="14278"/>
    <n v="2178"/>
    <x v="0"/>
  </r>
  <r>
    <x v="30"/>
    <x v="15"/>
    <x v="0"/>
    <n v="52"/>
    <n v="125"/>
    <n v="6500"/>
    <n v="7670"/>
    <n v="1170"/>
    <x v="0"/>
  </r>
  <r>
    <x v="30"/>
    <x v="67"/>
    <x v="0"/>
    <n v="210"/>
    <n v="110"/>
    <n v="23100"/>
    <n v="27258"/>
    <n v="4158"/>
    <x v="0"/>
  </r>
  <r>
    <x v="30"/>
    <x v="68"/>
    <x v="0"/>
    <n v="156"/>
    <n v="147.5"/>
    <n v="23010"/>
    <n v="27152"/>
    <n v="4141.8"/>
    <x v="0"/>
  </r>
  <r>
    <x v="30"/>
    <x v="10"/>
    <x v="0"/>
    <n v="148"/>
    <n v="168.99"/>
    <n v="25010"/>
    <n v="29512"/>
    <n v="4501.8"/>
    <x v="0"/>
  </r>
  <r>
    <x v="30"/>
    <x v="2"/>
    <x v="0"/>
    <n v="35"/>
    <n v="76"/>
    <n v="2660"/>
    <n v="3139"/>
    <n v="478.79999999999995"/>
    <x v="0"/>
  </r>
  <r>
    <x v="31"/>
    <x v="10"/>
    <x v="0"/>
    <n v="50"/>
    <n v="93"/>
    <n v="4650"/>
    <n v="5487"/>
    <n v="837"/>
    <x v="0"/>
  </r>
  <r>
    <x v="31"/>
    <x v="4"/>
    <x v="0"/>
    <n v="104"/>
    <n v="115"/>
    <n v="11960"/>
    <n v="14113"/>
    <n v="2152.7999999999997"/>
    <x v="0"/>
  </r>
  <r>
    <x v="31"/>
    <x v="65"/>
    <x v="0"/>
    <n v="26"/>
    <n v="125"/>
    <n v="3250"/>
    <n v="3835"/>
    <n v="585"/>
    <x v="0"/>
  </r>
  <r>
    <x v="31"/>
    <x v="13"/>
    <x v="0"/>
    <n v="70"/>
    <n v="70"/>
    <n v="4900"/>
    <n v="5782"/>
    <n v="882"/>
    <x v="0"/>
  </r>
  <r>
    <x v="31"/>
    <x v="65"/>
    <x v="0"/>
    <n v="25"/>
    <n v="210"/>
    <n v="5250"/>
    <n v="6195"/>
    <n v="945"/>
    <x v="0"/>
  </r>
  <r>
    <x v="31"/>
    <x v="65"/>
    <x v="0"/>
    <n v="210"/>
    <n v="100"/>
    <n v="21000"/>
    <n v="24780"/>
    <n v="3780"/>
    <x v="0"/>
  </r>
  <r>
    <x v="31"/>
    <x v="17"/>
    <x v="0"/>
    <n v="230"/>
    <n v="83.04"/>
    <n v="19100"/>
    <n v="22538"/>
    <n v="3438"/>
    <x v="0"/>
  </r>
  <r>
    <x v="31"/>
    <x v="2"/>
    <x v="0"/>
    <n v="35"/>
    <n v="170"/>
    <n v="5950"/>
    <n v="7021"/>
    <n v="1071"/>
    <x v="0"/>
  </r>
  <r>
    <x v="31"/>
    <x v="10"/>
    <x v="0"/>
    <n v="26"/>
    <n v="115"/>
    <n v="2050"/>
    <n v="2380"/>
    <n v="369"/>
    <x v="0"/>
  </r>
  <r>
    <x v="32"/>
    <x v="65"/>
    <x v="0"/>
    <n v="26"/>
    <n v="115"/>
    <n v="2050"/>
    <n v="2419"/>
    <n v="369"/>
    <x v="0"/>
  </r>
  <r>
    <x v="32"/>
    <x v="32"/>
    <x v="0"/>
    <n v="70"/>
    <n v="100"/>
    <n v="7000"/>
    <n v="8260"/>
    <n v="1260"/>
    <x v="0"/>
  </r>
  <r>
    <x v="32"/>
    <x v="69"/>
    <x v="0"/>
    <n v="52"/>
    <n v="130"/>
    <n v="6760"/>
    <n v="7977"/>
    <n v="1216.8"/>
    <x v="0"/>
  </r>
  <r>
    <x v="32"/>
    <x v="2"/>
    <x v="0"/>
    <n v="220"/>
    <n v="55"/>
    <n v="12100"/>
    <n v="14278"/>
    <n v="2178"/>
    <x v="0"/>
  </r>
  <r>
    <x v="32"/>
    <x v="65"/>
    <x v="0"/>
    <n v="26"/>
    <n v="135"/>
    <n v="3510"/>
    <n v="4142"/>
    <n v="631.79999999999995"/>
    <x v="0"/>
  </r>
  <r>
    <x v="32"/>
    <x v="65"/>
    <x v="0"/>
    <n v="26"/>
    <n v="115"/>
    <n v="52730"/>
    <n v="62221"/>
    <n v="9491.4"/>
    <x v="0"/>
  </r>
  <r>
    <x v="32"/>
    <x v="65"/>
    <x v="0"/>
    <n v="5"/>
    <n v="50"/>
    <n v="250"/>
    <n v="263"/>
    <n v="45"/>
    <x v="0"/>
  </r>
  <r>
    <x v="32"/>
    <x v="65"/>
    <x v="0"/>
    <n v="35"/>
    <n v="210"/>
    <n v="7350"/>
    <n v="8673"/>
    <n v="1323"/>
    <x v="0"/>
  </r>
  <r>
    <x v="33"/>
    <x v="1"/>
    <x v="0"/>
    <n v="297"/>
    <n v="101.09"/>
    <n v="30025"/>
    <n v="35430"/>
    <n v="5404.5"/>
    <x v="0"/>
  </r>
  <r>
    <x v="33"/>
    <x v="23"/>
    <x v="0"/>
    <n v="220"/>
    <n v="104.55"/>
    <n v="23000"/>
    <n v="27140"/>
    <n v="4140"/>
    <x v="0"/>
  </r>
  <r>
    <x v="33"/>
    <x v="65"/>
    <x v="0"/>
    <n v="20"/>
    <n v="90"/>
    <n v="1800"/>
    <n v="2124"/>
    <n v="324"/>
    <x v="0"/>
  </r>
  <r>
    <x v="33"/>
    <x v="15"/>
    <x v="0"/>
    <n v="156"/>
    <n v="85"/>
    <n v="13260"/>
    <n v="15647"/>
    <n v="2386.7999999999997"/>
    <x v="0"/>
  </r>
  <r>
    <x v="33"/>
    <x v="65"/>
    <x v="0"/>
    <n v="15"/>
    <n v="115"/>
    <n v="1725"/>
    <n v="2036"/>
    <n v="310.5"/>
    <x v="0"/>
  </r>
  <r>
    <x v="33"/>
    <x v="51"/>
    <x v="0"/>
    <n v="31"/>
    <n v="115"/>
    <n v="3565"/>
    <n v="4207"/>
    <n v="641.69999999999993"/>
    <x v="0"/>
  </r>
  <r>
    <x v="33"/>
    <x v="10"/>
    <x v="0"/>
    <n v="210"/>
    <n v="86"/>
    <n v="18060"/>
    <n v="21311"/>
    <n v="3250.7999999999997"/>
    <x v="0"/>
  </r>
  <r>
    <x v="33"/>
    <x v="70"/>
    <x v="0"/>
    <n v="52"/>
    <n v="110"/>
    <n v="5720"/>
    <n v="6750"/>
    <n v="1029.5999999999999"/>
    <x v="0"/>
  </r>
  <r>
    <x v="33"/>
    <x v="0"/>
    <x v="0"/>
    <n v="1025"/>
    <n v="105"/>
    <n v="107625"/>
    <n v="126998"/>
    <n v="19372.5"/>
    <x v="0"/>
  </r>
  <r>
    <x v="33"/>
    <x v="71"/>
    <x v="0"/>
    <n v="26"/>
    <n v="160"/>
    <n v="4160"/>
    <n v="4909"/>
    <n v="748.8"/>
    <x v="0"/>
  </r>
  <r>
    <x v="33"/>
    <x v="65"/>
    <x v="0"/>
    <n v="2"/>
    <n v="200"/>
    <n v="400"/>
    <n v="472"/>
    <n v="72"/>
    <x v="0"/>
  </r>
  <r>
    <x v="33"/>
    <x v="65"/>
    <x v="0"/>
    <n v="123"/>
    <n v="113.25"/>
    <n v="13930"/>
    <n v="16437"/>
    <n v="2507.4"/>
    <x v="0"/>
  </r>
  <r>
    <x v="34"/>
    <x v="11"/>
    <x v="0"/>
    <n v="52"/>
    <n v="127.5"/>
    <n v="6630"/>
    <n v="7823"/>
    <n v="1193.3999999999999"/>
    <x v="0"/>
  </r>
  <r>
    <x v="34"/>
    <x v="65"/>
    <x v="0"/>
    <n v="78"/>
    <n v="134.66999999999999"/>
    <n v="10504"/>
    <n v="12395"/>
    <n v="1890.72"/>
    <x v="0"/>
  </r>
  <r>
    <x v="34"/>
    <x v="20"/>
    <x v="0"/>
    <n v="150"/>
    <n v="195"/>
    <n v="29250"/>
    <n v="34515"/>
    <n v="5265"/>
    <x v="0"/>
  </r>
  <r>
    <x v="34"/>
    <x v="15"/>
    <x v="0"/>
    <n v="5"/>
    <n v="70"/>
    <n v="350"/>
    <n v="413"/>
    <n v="63"/>
    <x v="0"/>
  </r>
  <r>
    <x v="34"/>
    <x v="65"/>
    <x v="0"/>
    <n v="10"/>
    <n v="115"/>
    <n v="1150"/>
    <n v="1357"/>
    <n v="207"/>
    <x v="0"/>
  </r>
  <r>
    <x v="34"/>
    <x v="29"/>
    <x v="0"/>
    <n v="40"/>
    <n v="335"/>
    <n v="13400"/>
    <n v="15812"/>
    <n v="2412"/>
    <x v="0"/>
  </r>
  <r>
    <x v="34"/>
    <x v="65"/>
    <x v="0"/>
    <n v="420"/>
    <n v="130"/>
    <n v="54600"/>
    <n v="64428"/>
    <n v="9828"/>
    <x v="0"/>
  </r>
  <r>
    <x v="35"/>
    <x v="65"/>
    <x v="0"/>
    <n v="26"/>
    <n v="130"/>
    <n v="3380"/>
    <n v="3988"/>
    <n v="608.4"/>
    <x v="0"/>
  </r>
  <r>
    <x v="35"/>
    <x v="30"/>
    <x v="0"/>
    <n v="61"/>
    <n v="130.82"/>
    <n v="7980"/>
    <n v="9416"/>
    <n v="1436.3999999999999"/>
    <x v="0"/>
  </r>
  <r>
    <x v="35"/>
    <x v="65"/>
    <x v="0"/>
    <n v="52"/>
    <n v="115"/>
    <n v="5980"/>
    <n v="7056"/>
    <n v="1076.3999999999999"/>
    <x v="0"/>
  </r>
  <r>
    <x v="35"/>
    <x v="72"/>
    <x v="0"/>
    <n v="70"/>
    <n v="116.5"/>
    <n v="8155"/>
    <n v="9623"/>
    <n v="1467.8999999999999"/>
    <x v="0"/>
  </r>
  <r>
    <x v="35"/>
    <x v="52"/>
    <x v="0"/>
    <n v="520"/>
    <n v="83.46"/>
    <n v="43400"/>
    <n v="51212"/>
    <n v="7812"/>
    <x v="0"/>
  </r>
  <r>
    <x v="36"/>
    <x v="65"/>
    <x v="0"/>
    <n v="26"/>
    <n v="107"/>
    <n v="2782"/>
    <n v="3283"/>
    <n v="500.76"/>
    <x v="0"/>
  </r>
  <r>
    <x v="36"/>
    <x v="15"/>
    <x v="0"/>
    <n v="210"/>
    <n v="62"/>
    <n v="13020"/>
    <n v="15364"/>
    <n v="2343.6"/>
    <x v="0"/>
  </r>
  <r>
    <x v="36"/>
    <x v="15"/>
    <x v="0"/>
    <n v="420"/>
    <n v="55"/>
    <n v="23100"/>
    <n v="27258"/>
    <n v="4158"/>
    <x v="0"/>
  </r>
  <r>
    <x v="36"/>
    <x v="65"/>
    <x v="0"/>
    <n v="840"/>
    <n v="71"/>
    <n v="59640"/>
    <n v="70375"/>
    <n v="10735.199999999999"/>
    <x v="0"/>
  </r>
  <r>
    <x v="36"/>
    <x v="42"/>
    <x v="0"/>
    <n v="182"/>
    <n v="106.86"/>
    <n v="19448"/>
    <n v="22949"/>
    <n v="3500.64"/>
    <x v="0"/>
  </r>
  <r>
    <x v="36"/>
    <x v="7"/>
    <x v="0"/>
    <n v="78"/>
    <n v="115"/>
    <n v="8970"/>
    <n v="10585"/>
    <n v="1614.6"/>
    <x v="0"/>
  </r>
  <r>
    <x v="36"/>
    <x v="15"/>
    <x v="0"/>
    <n v="52"/>
    <n v="105"/>
    <n v="5460"/>
    <n v="6443"/>
    <n v="982.8"/>
    <x v="0"/>
  </r>
  <r>
    <x v="36"/>
    <x v="12"/>
    <x v="0"/>
    <n v="245"/>
    <n v="78.709999999999994"/>
    <n v="19285"/>
    <n v="22756"/>
    <n v="3471.2999999999997"/>
    <x v="0"/>
  </r>
  <r>
    <x v="37"/>
    <x v="65"/>
    <x v="0"/>
    <n v="30"/>
    <n v="98"/>
    <n v="2940"/>
    <n v="3469"/>
    <n v="529.19999999999993"/>
    <x v="0"/>
  </r>
  <r>
    <x v="37"/>
    <x v="65"/>
    <x v="0"/>
    <n v="6"/>
    <n v="166.67"/>
    <n v="1000"/>
    <n v="1164"/>
    <n v="180"/>
    <x v="0"/>
  </r>
  <r>
    <x v="37"/>
    <x v="2"/>
    <x v="0"/>
    <n v="220"/>
    <n v="55"/>
    <n v="12100"/>
    <n v="14278"/>
    <n v="2178"/>
    <x v="0"/>
  </r>
  <r>
    <x v="37"/>
    <x v="10"/>
    <x v="0"/>
    <n v="1"/>
    <n v="200"/>
    <n v="200"/>
    <n v="236"/>
    <n v="36"/>
    <x v="0"/>
  </r>
  <r>
    <x v="37"/>
    <x v="65"/>
    <x v="0"/>
    <n v="1000"/>
    <n v="40"/>
    <n v="40000"/>
    <n v="47200"/>
    <n v="7200"/>
    <x v="0"/>
  </r>
  <r>
    <x v="37"/>
    <x v="10"/>
    <x v="0"/>
    <n v="26"/>
    <n v="105"/>
    <n v="2730"/>
    <n v="3221"/>
    <n v="491.4"/>
    <x v="0"/>
  </r>
  <r>
    <x v="37"/>
    <x v="1"/>
    <x v="0"/>
    <n v="78"/>
    <n v="120"/>
    <n v="9360"/>
    <n v="11045"/>
    <n v="1684.8"/>
    <x v="0"/>
  </r>
  <r>
    <x v="37"/>
    <x v="30"/>
    <x v="0"/>
    <n v="35"/>
    <n v="105"/>
    <n v="3675"/>
    <n v="4337"/>
    <n v="661.5"/>
    <x v="0"/>
  </r>
  <r>
    <x v="38"/>
    <x v="27"/>
    <x v="0"/>
    <n v="210"/>
    <n v="118"/>
    <n v="24780"/>
    <n v="29240"/>
    <n v="4460.3999999999996"/>
    <x v="0"/>
  </r>
  <r>
    <x v="38"/>
    <x v="33"/>
    <x v="0"/>
    <n v="1890"/>
    <n v="136.24"/>
    <n v="257490"/>
    <n v="303838"/>
    <n v="46348.2"/>
    <x v="0"/>
  </r>
  <r>
    <x v="38"/>
    <x v="29"/>
    <x v="0"/>
    <n v="40"/>
    <n v="335"/>
    <n v="13400"/>
    <n v="15812"/>
    <n v="2412"/>
    <x v="0"/>
  </r>
  <r>
    <x v="38"/>
    <x v="7"/>
    <x v="0"/>
    <n v="24"/>
    <n v="160"/>
    <n v="3840"/>
    <n v="4531"/>
    <n v="691.19999999999993"/>
    <x v="0"/>
  </r>
  <r>
    <x v="38"/>
    <x v="65"/>
    <x v="0"/>
    <n v="26"/>
    <n v="160"/>
    <n v="4160"/>
    <n v="4909"/>
    <n v="748.8"/>
    <x v="0"/>
  </r>
  <r>
    <x v="38"/>
    <x v="65"/>
    <x v="0"/>
    <n v="104"/>
    <n v="114.5"/>
    <n v="11908"/>
    <n v="14051"/>
    <n v="2143.44"/>
    <x v="0"/>
  </r>
  <r>
    <x v="38"/>
    <x v="65"/>
    <x v="0"/>
    <n v="156"/>
    <n v="110"/>
    <n v="17160"/>
    <n v="20249"/>
    <n v="3088.7999999999997"/>
    <x v="0"/>
  </r>
  <r>
    <x v="38"/>
    <x v="2"/>
    <x v="0"/>
    <n v="80"/>
    <n v="104.5"/>
    <n v="8360"/>
    <n v="9865"/>
    <n v="1504.8"/>
    <x v="0"/>
  </r>
  <r>
    <x v="39"/>
    <x v="2"/>
    <x v="0"/>
    <n v="35"/>
    <n v="66"/>
    <n v="2310"/>
    <n v="2726"/>
    <n v="415.8"/>
    <x v="0"/>
  </r>
  <r>
    <x v="39"/>
    <x v="10"/>
    <x v="0"/>
    <n v="630"/>
    <n v="75"/>
    <n v="47250"/>
    <n v="55755"/>
    <n v="8505"/>
    <x v="0"/>
  </r>
  <r>
    <x v="39"/>
    <x v="2"/>
    <x v="0"/>
    <n v="26"/>
    <n v="115"/>
    <n v="2990"/>
    <n v="3528"/>
    <n v="538.19999999999993"/>
    <x v="0"/>
  </r>
  <r>
    <x v="39"/>
    <x v="1"/>
    <x v="0"/>
    <n v="5"/>
    <n v="220"/>
    <n v="1100"/>
    <n v="1298"/>
    <n v="198"/>
    <x v="0"/>
  </r>
  <r>
    <x v="39"/>
    <x v="10"/>
    <x v="0"/>
    <n v="26"/>
    <n v="103"/>
    <n v="2678"/>
    <n v="3160"/>
    <n v="482.03999999999996"/>
    <x v="0"/>
  </r>
  <r>
    <x v="39"/>
    <x v="65"/>
    <x v="0"/>
    <n v="66"/>
    <n v="151.36000000000001"/>
    <n v="9990"/>
    <n v="11788"/>
    <n v="1798.2"/>
    <x v="0"/>
  </r>
  <r>
    <x v="39"/>
    <x v="33"/>
    <x v="0"/>
    <n v="300"/>
    <n v="52"/>
    <n v="15600"/>
    <n v="16380"/>
    <n v="2808"/>
    <x v="0"/>
  </r>
  <r>
    <x v="39"/>
    <x v="0"/>
    <x v="0"/>
    <n v="5"/>
    <n v="120"/>
    <n v="600"/>
    <n v="708"/>
    <n v="108"/>
    <x v="0"/>
  </r>
  <r>
    <x v="39"/>
    <x v="22"/>
    <x v="0"/>
    <n v="26"/>
    <n v="108"/>
    <n v="2808"/>
    <n v="3313"/>
    <n v="505.44"/>
    <x v="0"/>
  </r>
  <r>
    <x v="39"/>
    <x v="33"/>
    <x v="0"/>
    <n v="150"/>
    <n v="52"/>
    <n v="7800"/>
    <n v="8190"/>
    <n v="1404"/>
    <x v="0"/>
  </r>
  <r>
    <x v="39"/>
    <x v="65"/>
    <x v="0"/>
    <n v="5"/>
    <n v="230"/>
    <n v="1150"/>
    <n v="1357"/>
    <n v="207"/>
    <x v="0"/>
  </r>
  <r>
    <x v="39"/>
    <x v="56"/>
    <x v="0"/>
    <n v="5"/>
    <n v="200"/>
    <n v="1000"/>
    <n v="1180"/>
    <n v="180"/>
    <x v="0"/>
  </r>
  <r>
    <x v="39"/>
    <x v="15"/>
    <x v="0"/>
    <n v="35"/>
    <n v="62"/>
    <n v="2170"/>
    <n v="2561"/>
    <n v="390.59999999999997"/>
    <x v="0"/>
  </r>
  <r>
    <x v="40"/>
    <x v="15"/>
    <x v="0"/>
    <n v="210"/>
    <n v="90"/>
    <n v="18900"/>
    <n v="22302"/>
    <n v="3402"/>
    <x v="0"/>
  </r>
  <r>
    <x v="40"/>
    <x v="13"/>
    <x v="0"/>
    <n v="35"/>
    <n v="70"/>
    <n v="2450"/>
    <n v="2891"/>
    <n v="441"/>
    <x v="0"/>
  </r>
  <r>
    <x v="40"/>
    <x v="4"/>
    <x v="0"/>
    <n v="182"/>
    <n v="115"/>
    <n v="20930"/>
    <n v="24697"/>
    <n v="3767.3999999999996"/>
    <x v="0"/>
  </r>
  <r>
    <x v="40"/>
    <x v="10"/>
    <x v="0"/>
    <n v="252"/>
    <n v="77.06"/>
    <n v="19420"/>
    <n v="22916"/>
    <n v="3495.6"/>
    <x v="0"/>
  </r>
  <r>
    <x v="40"/>
    <x v="73"/>
    <x v="0"/>
    <n v="26"/>
    <n v="115"/>
    <n v="3800"/>
    <n v="4445"/>
    <n v="684"/>
    <x v="0"/>
  </r>
  <r>
    <x v="40"/>
    <x v="65"/>
    <x v="0"/>
    <n v="26"/>
    <n v="115"/>
    <n v="6250"/>
    <n v="6985"/>
    <n v="1125"/>
    <x v="0"/>
  </r>
  <r>
    <x v="40"/>
    <x v="10"/>
    <x v="0"/>
    <n v="3"/>
    <n v="110"/>
    <n v="330"/>
    <n v="389"/>
    <n v="59.4"/>
    <x v="0"/>
  </r>
  <r>
    <x v="40"/>
    <x v="14"/>
    <x v="0"/>
    <n v="1050"/>
    <n v="76"/>
    <n v="79800"/>
    <n v="94164"/>
    <n v="14364"/>
    <x v="0"/>
  </r>
  <r>
    <x v="40"/>
    <x v="0"/>
    <x v="0"/>
    <n v="236"/>
    <n v="126.57"/>
    <n v="29870"/>
    <n v="35247"/>
    <n v="5376.5999999999995"/>
    <x v="0"/>
  </r>
  <r>
    <x v="41"/>
    <x v="65"/>
    <x v="0"/>
    <n v="630"/>
    <n v="70"/>
    <n v="44100"/>
    <n v="52038"/>
    <n v="7938"/>
    <x v="0"/>
  </r>
  <r>
    <x v="41"/>
    <x v="65"/>
    <x v="0"/>
    <n v="210"/>
    <n v="90"/>
    <n v="18900"/>
    <n v="22302"/>
    <n v="3402"/>
    <x v="0"/>
  </r>
  <r>
    <x v="41"/>
    <x v="10"/>
    <x v="0"/>
    <n v="15"/>
    <n v="83"/>
    <n v="1245"/>
    <n v="1469"/>
    <n v="224.1"/>
    <x v="0"/>
  </r>
  <r>
    <x v="41"/>
    <x v="0"/>
    <x v="0"/>
    <n v="26"/>
    <n v="128"/>
    <n v="3328"/>
    <n v="3927"/>
    <n v="599.04"/>
    <x v="0"/>
  </r>
  <r>
    <x v="41"/>
    <x v="0"/>
    <x v="0"/>
    <n v="10"/>
    <n v="160"/>
    <n v="1600"/>
    <n v="1888"/>
    <n v="288"/>
    <x v="0"/>
  </r>
  <r>
    <x v="41"/>
    <x v="15"/>
    <x v="0"/>
    <n v="52"/>
    <n v="125"/>
    <n v="6500"/>
    <n v="7670"/>
    <n v="1170"/>
    <x v="0"/>
  </r>
  <r>
    <x v="42"/>
    <x v="15"/>
    <x v="0"/>
    <n v="52"/>
    <n v="120"/>
    <n v="6240"/>
    <n v="7363"/>
    <n v="1123.2"/>
    <x v="0"/>
  </r>
  <r>
    <x v="42"/>
    <x v="65"/>
    <x v="0"/>
    <n v="420"/>
    <n v="71"/>
    <n v="29820"/>
    <n v="35188"/>
    <n v="5367.5999999999995"/>
    <x v="0"/>
  </r>
  <r>
    <x v="42"/>
    <x v="1"/>
    <x v="0"/>
    <n v="70"/>
    <n v="95"/>
    <n v="6650"/>
    <n v="7847"/>
    <n v="1197"/>
    <x v="0"/>
  </r>
  <r>
    <x v="42"/>
    <x v="15"/>
    <x v="0"/>
    <n v="208"/>
    <n v="85"/>
    <n v="17680"/>
    <n v="20862"/>
    <n v="3182.4"/>
    <x v="0"/>
  </r>
  <r>
    <x v="42"/>
    <x v="65"/>
    <x v="0"/>
    <n v="26"/>
    <n v="125"/>
    <n v="3250"/>
    <n v="3835"/>
    <n v="585"/>
    <x v="0"/>
  </r>
  <r>
    <x v="43"/>
    <x v="34"/>
    <x v="0"/>
    <n v="57"/>
    <n v="131.13999999999999"/>
    <n v="7475"/>
    <n v="8821"/>
    <n v="1345.5"/>
    <x v="0"/>
  </r>
  <r>
    <x v="43"/>
    <x v="30"/>
    <x v="0"/>
    <n v="630"/>
    <n v="78.67"/>
    <n v="49560"/>
    <n v="58481"/>
    <n v="8920.7999999999993"/>
    <x v="0"/>
  </r>
  <r>
    <x v="43"/>
    <x v="10"/>
    <x v="0"/>
    <n v="5"/>
    <n v="83"/>
    <n v="415"/>
    <n v="490"/>
    <n v="74.7"/>
    <x v="0"/>
  </r>
  <r>
    <x v="43"/>
    <x v="13"/>
    <x v="0"/>
    <n v="70"/>
    <n v="70"/>
    <n v="4900"/>
    <n v="5782"/>
    <n v="882"/>
    <x v="0"/>
  </r>
  <r>
    <x v="43"/>
    <x v="4"/>
    <x v="0"/>
    <n v="210"/>
    <n v="80"/>
    <n v="16800"/>
    <n v="19824"/>
    <n v="3024"/>
    <x v="0"/>
  </r>
  <r>
    <x v="43"/>
    <x v="15"/>
    <x v="0"/>
    <n v="182"/>
    <n v="107.86"/>
    <n v="19630"/>
    <n v="23163"/>
    <n v="3533.4"/>
    <x v="0"/>
  </r>
  <r>
    <x v="43"/>
    <x v="48"/>
    <x v="0"/>
    <n v="420"/>
    <n v="70"/>
    <n v="29400"/>
    <n v="34692"/>
    <n v="5292"/>
    <x v="0"/>
  </r>
  <r>
    <x v="43"/>
    <x v="65"/>
    <x v="0"/>
    <n v="78"/>
    <n v="125"/>
    <n v="9750"/>
    <n v="11505"/>
    <n v="1755"/>
    <x v="0"/>
  </r>
  <r>
    <x v="43"/>
    <x v="33"/>
    <x v="0"/>
    <n v="26"/>
    <n v="115"/>
    <n v="61053"/>
    <n v="72043"/>
    <n v="10989.539999999999"/>
    <x v="0"/>
  </r>
  <r>
    <x v="43"/>
    <x v="58"/>
    <x v="0"/>
    <n v="61"/>
    <n v="118"/>
    <n v="7198"/>
    <n v="8494"/>
    <n v="1295.6399999999999"/>
    <x v="0"/>
  </r>
  <r>
    <x v="44"/>
    <x v="7"/>
    <x v="0"/>
    <n v="52"/>
    <n v="112.5"/>
    <n v="5850"/>
    <n v="6903"/>
    <n v="1053"/>
    <x v="0"/>
  </r>
  <r>
    <x v="44"/>
    <x v="74"/>
    <x v="0"/>
    <n v="3"/>
    <n v="90"/>
    <n v="270"/>
    <n v="319"/>
    <n v="48.6"/>
    <x v="0"/>
  </r>
  <r>
    <x v="44"/>
    <x v="65"/>
    <x v="0"/>
    <n v="83"/>
    <n v="126.02"/>
    <n v="10460"/>
    <n v="12343"/>
    <n v="1882.8"/>
    <x v="0"/>
  </r>
  <r>
    <x v="45"/>
    <x v="65"/>
    <x v="0"/>
    <n v="52"/>
    <n v="112.5"/>
    <n v="5850"/>
    <n v="6903"/>
    <n v="1053"/>
    <x v="0"/>
  </r>
  <r>
    <x v="45"/>
    <x v="34"/>
    <x v="0"/>
    <n v="340"/>
    <n v="118.82"/>
    <n v="40400"/>
    <n v="47672"/>
    <n v="7272"/>
    <x v="0"/>
  </r>
  <r>
    <x v="45"/>
    <x v="1"/>
    <x v="0"/>
    <n v="210"/>
    <n v="90"/>
    <n v="18900"/>
    <n v="22302"/>
    <n v="3402"/>
    <x v="0"/>
  </r>
  <r>
    <x v="45"/>
    <x v="2"/>
    <x v="0"/>
    <n v="220"/>
    <n v="55"/>
    <n v="12100"/>
    <n v="14278"/>
    <n v="2178"/>
    <x v="0"/>
  </r>
  <r>
    <x v="45"/>
    <x v="65"/>
    <x v="0"/>
    <n v="35"/>
    <n v="110"/>
    <n v="3850"/>
    <n v="4543"/>
    <n v="693"/>
    <x v="0"/>
  </r>
  <r>
    <x v="45"/>
    <x v="2"/>
    <x v="0"/>
    <n v="87"/>
    <n v="85.98"/>
    <n v="7480"/>
    <n v="8826"/>
    <n v="1346.3999999999999"/>
    <x v="0"/>
  </r>
  <r>
    <x v="45"/>
    <x v="33"/>
    <x v="0"/>
    <n v="195"/>
    <n v="253"/>
    <n v="49335"/>
    <n v="58215"/>
    <n v="8880.2999999999993"/>
    <x v="0"/>
  </r>
  <r>
    <x v="45"/>
    <x v="0"/>
    <x v="0"/>
    <n v="5"/>
    <n v="160"/>
    <n v="800"/>
    <n v="944"/>
    <n v="144"/>
    <x v="0"/>
  </r>
  <r>
    <x v="45"/>
    <x v="10"/>
    <x v="0"/>
    <n v="50"/>
    <n v="93"/>
    <n v="4650"/>
    <n v="5487"/>
    <n v="837"/>
    <x v="0"/>
  </r>
  <r>
    <x v="45"/>
    <x v="75"/>
    <x v="0"/>
    <n v="1"/>
    <n v="195"/>
    <n v="195"/>
    <n v="230"/>
    <n v="35.1"/>
    <x v="0"/>
  </r>
  <r>
    <x v="45"/>
    <x v="10"/>
    <x v="0"/>
    <n v="100"/>
    <n v="50"/>
    <n v="5000"/>
    <n v="5250"/>
    <n v="900"/>
    <x v="0"/>
  </r>
  <r>
    <x v="45"/>
    <x v="63"/>
    <x v="0"/>
    <n v="5"/>
    <n v="120"/>
    <n v="600"/>
    <n v="708"/>
    <n v="108"/>
    <x v="0"/>
  </r>
  <r>
    <x v="46"/>
    <x v="10"/>
    <x v="0"/>
    <n v="60"/>
    <n v="112.83"/>
    <n v="6770"/>
    <n v="7989"/>
    <n v="1218.5999999999999"/>
    <x v="0"/>
  </r>
  <r>
    <x v="46"/>
    <x v="24"/>
    <x v="0"/>
    <n v="30"/>
    <n v="80"/>
    <n v="2400"/>
    <n v="2832"/>
    <n v="432"/>
    <x v="0"/>
  </r>
  <r>
    <x v="46"/>
    <x v="76"/>
    <x v="0"/>
    <n v="60"/>
    <n v="175"/>
    <n v="10500"/>
    <n v="12390"/>
    <n v="1890"/>
    <x v="0"/>
  </r>
  <r>
    <x v="46"/>
    <x v="2"/>
    <x v="0"/>
    <n v="150"/>
    <n v="163"/>
    <n v="24450"/>
    <n v="28851"/>
    <n v="4401"/>
    <x v="0"/>
  </r>
  <r>
    <x v="46"/>
    <x v="34"/>
    <x v="0"/>
    <n v="78"/>
    <n v="125"/>
    <n v="9750"/>
    <n v="11505"/>
    <n v="1755"/>
    <x v="0"/>
  </r>
  <r>
    <x v="46"/>
    <x v="77"/>
    <x v="0"/>
    <n v="210"/>
    <n v="78"/>
    <n v="16380"/>
    <n v="19328"/>
    <n v="2948.4"/>
    <x v="0"/>
  </r>
  <r>
    <x v="46"/>
    <x v="18"/>
    <x v="0"/>
    <n v="10"/>
    <n v="235"/>
    <n v="2350"/>
    <n v="2773"/>
    <n v="423"/>
    <x v="0"/>
  </r>
  <r>
    <x v="46"/>
    <x v="54"/>
    <x v="0"/>
    <n v="26"/>
    <n v="130"/>
    <n v="3380"/>
    <n v="3988"/>
    <n v="608.4"/>
    <x v="0"/>
  </r>
  <r>
    <x v="47"/>
    <x v="65"/>
    <x v="0"/>
    <n v="20"/>
    <n v="170"/>
    <n v="3400"/>
    <n v="4012"/>
    <n v="612"/>
    <x v="0"/>
  </r>
  <r>
    <x v="47"/>
    <x v="15"/>
    <x v="0"/>
    <n v="87"/>
    <n v="94.71"/>
    <n v="8240"/>
    <n v="9723"/>
    <n v="1483.2"/>
    <x v="0"/>
  </r>
  <r>
    <x v="47"/>
    <x v="65"/>
    <x v="0"/>
    <n v="5"/>
    <n v="170"/>
    <n v="850"/>
    <n v="1003"/>
    <n v="153"/>
    <x v="0"/>
  </r>
  <r>
    <x v="47"/>
    <x v="10"/>
    <x v="0"/>
    <n v="420"/>
    <n v="115"/>
    <n v="48300"/>
    <n v="56994"/>
    <n v="8694"/>
    <x v="0"/>
  </r>
  <r>
    <x v="47"/>
    <x v="27"/>
    <x v="0"/>
    <n v="26"/>
    <n v="112"/>
    <n v="2912"/>
    <n v="3436"/>
    <n v="524.16"/>
    <x v="0"/>
  </r>
  <r>
    <x v="48"/>
    <x v="15"/>
    <x v="0"/>
    <n v="420"/>
    <n v="58.5"/>
    <n v="24570"/>
    <n v="28993"/>
    <n v="4422.5999999999995"/>
    <x v="0"/>
  </r>
  <r>
    <x v="48"/>
    <x v="53"/>
    <x v="0"/>
    <n v="5"/>
    <n v="90"/>
    <n v="450"/>
    <n v="531"/>
    <n v="81"/>
    <x v="0"/>
  </r>
  <r>
    <x v="48"/>
    <x v="65"/>
    <x v="0"/>
    <n v="5"/>
    <n v="160"/>
    <n v="800"/>
    <n v="944"/>
    <n v="144"/>
    <x v="0"/>
  </r>
  <r>
    <x v="48"/>
    <x v="54"/>
    <x v="0"/>
    <n v="35"/>
    <n v="135"/>
    <n v="4725"/>
    <n v="5576"/>
    <n v="850.5"/>
    <x v="0"/>
  </r>
  <r>
    <x v="48"/>
    <x v="65"/>
    <x v="0"/>
    <n v="26"/>
    <n v="107"/>
    <n v="2782"/>
    <n v="3283"/>
    <n v="500.76"/>
    <x v="0"/>
  </r>
  <r>
    <x v="48"/>
    <x v="65"/>
    <x v="0"/>
    <n v="10"/>
    <n v="110"/>
    <n v="1100"/>
    <n v="1298"/>
    <n v="198"/>
    <x v="0"/>
  </r>
  <r>
    <x v="48"/>
    <x v="24"/>
    <x v="0"/>
    <n v="2"/>
    <n v="482.25"/>
    <n v="964.5"/>
    <n v="1138"/>
    <n v="173.60999999999999"/>
    <x v="0"/>
  </r>
  <r>
    <x v="48"/>
    <x v="44"/>
    <x v="0"/>
    <n v="230"/>
    <n v="149.26"/>
    <n v="34330"/>
    <n v="40509"/>
    <n v="6179.4"/>
    <x v="0"/>
  </r>
  <r>
    <x v="49"/>
    <x v="35"/>
    <x v="0"/>
    <n v="35"/>
    <n v="85"/>
    <n v="2975"/>
    <n v="3511"/>
    <n v="535.5"/>
    <x v="0"/>
  </r>
  <r>
    <x v="49"/>
    <x v="10"/>
    <x v="0"/>
    <n v="630"/>
    <n v="75"/>
    <n v="47250"/>
    <n v="55755"/>
    <n v="8505"/>
    <x v="0"/>
  </r>
  <r>
    <x v="49"/>
    <x v="65"/>
    <x v="0"/>
    <n v="420"/>
    <n v="130"/>
    <n v="54600"/>
    <n v="64428"/>
    <n v="9828"/>
    <x v="0"/>
  </r>
  <r>
    <x v="49"/>
    <x v="10"/>
    <x v="0"/>
    <n v="26"/>
    <n v="105"/>
    <n v="2730"/>
    <n v="3221"/>
    <n v="491.4"/>
    <x v="0"/>
  </r>
  <r>
    <x v="49"/>
    <x v="10"/>
    <x v="0"/>
    <n v="25"/>
    <n v="98"/>
    <n v="2450"/>
    <n v="2891"/>
    <n v="441"/>
    <x v="0"/>
  </r>
  <r>
    <x v="49"/>
    <x v="65"/>
    <x v="0"/>
    <n v="40"/>
    <n v="100"/>
    <n v="4000"/>
    <n v="4720"/>
    <n v="720"/>
    <x v="0"/>
  </r>
  <r>
    <x v="50"/>
    <x v="4"/>
    <x v="0"/>
    <n v="10"/>
    <n v="165"/>
    <n v="1650"/>
    <n v="1947"/>
    <n v="297"/>
    <x v="0"/>
  </r>
  <r>
    <x v="50"/>
    <x v="34"/>
    <x v="0"/>
    <n v="78"/>
    <n v="125"/>
    <n v="9750"/>
    <n v="11505"/>
    <n v="1755"/>
    <x v="0"/>
  </r>
  <r>
    <x v="50"/>
    <x v="2"/>
    <x v="0"/>
    <n v="10"/>
    <n v="130"/>
    <n v="1300"/>
    <n v="1534"/>
    <n v="234"/>
    <x v="0"/>
  </r>
  <r>
    <x v="50"/>
    <x v="78"/>
    <x v="0"/>
    <n v="78"/>
    <n v="112.67"/>
    <n v="8788"/>
    <n v="10370"/>
    <n v="1581.84"/>
    <x v="0"/>
  </r>
  <r>
    <x v="50"/>
    <x v="51"/>
    <x v="0"/>
    <n v="36"/>
    <n v="116.39"/>
    <n v="4190"/>
    <n v="4944"/>
    <n v="754.19999999999993"/>
    <x v="0"/>
  </r>
  <r>
    <x v="50"/>
    <x v="65"/>
    <x v="0"/>
    <n v="210"/>
    <n v="100"/>
    <n v="21000"/>
    <n v="24780"/>
    <n v="3780"/>
    <x v="0"/>
  </r>
  <r>
    <x v="50"/>
    <x v="15"/>
    <x v="0"/>
    <n v="280"/>
    <n v="86.25"/>
    <n v="24150"/>
    <n v="28497"/>
    <n v="4347"/>
    <x v="0"/>
  </r>
  <r>
    <x v="51"/>
    <x v="52"/>
    <x v="0"/>
    <n v="26"/>
    <n v="150"/>
    <n v="3900"/>
    <n v="4602"/>
    <n v="702"/>
    <x v="0"/>
  </r>
  <r>
    <x v="51"/>
    <x v="10"/>
    <x v="0"/>
    <n v="106"/>
    <n v="160.66"/>
    <n v="17030"/>
    <n v="20095"/>
    <n v="3065.4"/>
    <x v="0"/>
  </r>
  <r>
    <x v="51"/>
    <x v="4"/>
    <x v="0"/>
    <n v="156"/>
    <n v="123.33"/>
    <n v="19240"/>
    <n v="22703"/>
    <n v="3463.2"/>
    <x v="0"/>
  </r>
  <r>
    <x v="51"/>
    <x v="65"/>
    <x v="0"/>
    <n v="31"/>
    <n v="123.39"/>
    <n v="3825"/>
    <n v="4514"/>
    <n v="688.5"/>
    <x v="0"/>
  </r>
  <r>
    <x v="51"/>
    <x v="15"/>
    <x v="0"/>
    <n v="26"/>
    <n v="120"/>
    <n v="3120"/>
    <n v="3682"/>
    <n v="561.6"/>
    <x v="0"/>
  </r>
  <r>
    <x v="51"/>
    <x v="28"/>
    <x v="0"/>
    <n v="5"/>
    <n v="120"/>
    <n v="600"/>
    <n v="708"/>
    <n v="108"/>
    <x v="0"/>
  </r>
  <r>
    <x v="51"/>
    <x v="14"/>
    <x v="0"/>
    <n v="40"/>
    <n v="335"/>
    <n v="13400"/>
    <n v="15812"/>
    <n v="2412"/>
    <x v="0"/>
  </r>
  <r>
    <x v="51"/>
    <x v="33"/>
    <x v="0"/>
    <n v="144"/>
    <n v="4.8"/>
    <n v="691.2"/>
    <n v="816"/>
    <n v="124.416"/>
    <x v="0"/>
  </r>
  <r>
    <x v="51"/>
    <x v="33"/>
    <x v="0"/>
    <n v="288"/>
    <n v="4.8"/>
    <n v="1382.4"/>
    <n v="1631"/>
    <n v="248.83199999999999"/>
    <x v="0"/>
  </r>
  <r>
    <x v="51"/>
    <x v="27"/>
    <x v="0"/>
    <n v="5"/>
    <n v="160"/>
    <n v="800"/>
    <n v="944"/>
    <n v="144"/>
    <x v="0"/>
  </r>
  <r>
    <x v="51"/>
    <x v="79"/>
    <x v="0"/>
    <n v="26"/>
    <n v="202"/>
    <n v="5252"/>
    <n v="6197"/>
    <n v="945.36"/>
    <x v="0"/>
  </r>
  <r>
    <x v="51"/>
    <x v="15"/>
    <x v="0"/>
    <n v="70"/>
    <n v="62"/>
    <n v="4340"/>
    <n v="5121"/>
    <n v="781.19999999999993"/>
    <x v="0"/>
  </r>
  <r>
    <x v="51"/>
    <x v="80"/>
    <x v="0"/>
    <n v="26"/>
    <n v="115"/>
    <n v="19690"/>
    <n v="23234"/>
    <n v="3544.2"/>
    <x v="0"/>
  </r>
  <r>
    <x v="52"/>
    <x v="43"/>
    <x v="0"/>
    <n v="78"/>
    <n v="116.67"/>
    <n v="9100"/>
    <n v="10738"/>
    <n v="1638"/>
    <x v="0"/>
  </r>
  <r>
    <x v="52"/>
    <x v="65"/>
    <x v="0"/>
    <n v="26"/>
    <n v="150"/>
    <n v="3900"/>
    <n v="4602"/>
    <n v="702"/>
    <x v="0"/>
  </r>
  <r>
    <x v="52"/>
    <x v="65"/>
    <x v="0"/>
    <n v="208"/>
    <n v="115"/>
    <n v="23920"/>
    <n v="28226"/>
    <n v="4305.5999999999995"/>
    <x v="0"/>
  </r>
  <r>
    <x v="52"/>
    <x v="24"/>
    <x v="0"/>
    <n v="210"/>
    <n v="80"/>
    <n v="16800"/>
    <n v="19824"/>
    <n v="3024"/>
    <x v="0"/>
  </r>
  <r>
    <x v="52"/>
    <x v="10"/>
    <x v="0"/>
    <n v="25"/>
    <n v="70"/>
    <n v="1750"/>
    <n v="2065"/>
    <n v="315"/>
    <x v="0"/>
  </r>
  <r>
    <x v="52"/>
    <x v="10"/>
    <x v="0"/>
    <n v="45"/>
    <n v="83"/>
    <n v="3735"/>
    <n v="4407"/>
    <n v="672.3"/>
    <x v="0"/>
  </r>
  <r>
    <x v="53"/>
    <x v="15"/>
    <x v="0"/>
    <n v="420"/>
    <n v="55"/>
    <n v="23100"/>
    <n v="27258"/>
    <n v="4158"/>
    <x v="0"/>
  </r>
  <r>
    <x v="53"/>
    <x v="2"/>
    <x v="0"/>
    <n v="20"/>
    <n v="145"/>
    <n v="2900"/>
    <n v="3422"/>
    <n v="522"/>
    <x v="0"/>
  </r>
  <r>
    <x v="53"/>
    <x v="7"/>
    <x v="0"/>
    <n v="83"/>
    <n v="117.11"/>
    <n v="9720"/>
    <n v="11470"/>
    <n v="1749.6"/>
    <x v="0"/>
  </r>
  <r>
    <x v="53"/>
    <x v="4"/>
    <x v="0"/>
    <n v="10"/>
    <n v="60"/>
    <n v="600"/>
    <n v="630"/>
    <n v="108"/>
    <x v="0"/>
  </r>
  <r>
    <x v="53"/>
    <x v="2"/>
    <x v="0"/>
    <n v="78"/>
    <n v="97.67"/>
    <n v="7618"/>
    <n v="8989"/>
    <n v="1371.24"/>
    <x v="0"/>
  </r>
  <r>
    <x v="53"/>
    <x v="65"/>
    <x v="0"/>
    <n v="5"/>
    <n v="110"/>
    <n v="550"/>
    <n v="649"/>
    <n v="99"/>
    <x v="0"/>
  </r>
  <r>
    <x v="53"/>
    <x v="14"/>
    <x v="0"/>
    <n v="60"/>
    <n v="335"/>
    <n v="20100"/>
    <n v="23718"/>
    <n v="3618"/>
    <x v="0"/>
  </r>
  <r>
    <x v="53"/>
    <x v="81"/>
    <x v="0"/>
    <n v="19"/>
    <n v="154.21"/>
    <n v="2930"/>
    <n v="3457"/>
    <n v="527.4"/>
    <x v="0"/>
  </r>
  <r>
    <x v="54"/>
    <x v="20"/>
    <x v="0"/>
    <n v="550"/>
    <n v="94.6"/>
    <n v="52030"/>
    <n v="61395"/>
    <n v="9365.4"/>
    <x v="0"/>
  </r>
  <r>
    <x v="54"/>
    <x v="1"/>
    <x v="0"/>
    <n v="472"/>
    <n v="109.96"/>
    <n v="51900"/>
    <n v="61242"/>
    <n v="9342"/>
    <x v="0"/>
  </r>
  <r>
    <x v="54"/>
    <x v="65"/>
    <x v="0"/>
    <n v="26"/>
    <n v="136"/>
    <n v="3536"/>
    <n v="4172"/>
    <n v="636.48"/>
    <x v="0"/>
  </r>
  <r>
    <x v="54"/>
    <x v="65"/>
    <x v="0"/>
    <n v="210"/>
    <n v="65"/>
    <n v="13650"/>
    <n v="16107"/>
    <n v="2457"/>
    <x v="0"/>
  </r>
  <r>
    <x v="54"/>
    <x v="15"/>
    <x v="0"/>
    <n v="156"/>
    <n v="85"/>
    <n v="13260"/>
    <n v="15647"/>
    <n v="2386.7999999999997"/>
    <x v="0"/>
  </r>
  <r>
    <x v="54"/>
    <x v="2"/>
    <x v="0"/>
    <n v="220"/>
    <n v="55"/>
    <n v="12100"/>
    <n v="14278"/>
    <n v="2178"/>
    <x v="0"/>
  </r>
  <r>
    <x v="54"/>
    <x v="0"/>
    <x v="0"/>
    <n v="5"/>
    <n v="210"/>
    <n v="1050"/>
    <n v="1239"/>
    <n v="189"/>
    <x v="0"/>
  </r>
  <r>
    <x v="55"/>
    <x v="12"/>
    <x v="0"/>
    <n v="210"/>
    <n v="76"/>
    <n v="15960"/>
    <n v="18833"/>
    <n v="2872.7999999999997"/>
    <x v="0"/>
  </r>
  <r>
    <x v="55"/>
    <x v="21"/>
    <x v="0"/>
    <n v="1260"/>
    <n v="68.5"/>
    <n v="86310"/>
    <n v="101846"/>
    <n v="15535.8"/>
    <x v="0"/>
  </r>
  <r>
    <x v="55"/>
    <x v="30"/>
    <x v="0"/>
    <n v="210"/>
    <n v="72"/>
    <n v="15120"/>
    <n v="17842"/>
    <n v="2721.6"/>
    <x v="0"/>
  </r>
  <r>
    <x v="55"/>
    <x v="82"/>
    <x v="0"/>
    <n v="420"/>
    <n v="80"/>
    <n v="33600"/>
    <n v="39648"/>
    <n v="6048"/>
    <x v="0"/>
  </r>
  <r>
    <x v="55"/>
    <x v="7"/>
    <x v="0"/>
    <n v="26"/>
    <n v="115"/>
    <n v="6580"/>
    <n v="7764"/>
    <n v="1184.3999999999999"/>
    <x v="0"/>
  </r>
  <r>
    <x v="55"/>
    <x v="65"/>
    <x v="0"/>
    <n v="2"/>
    <n v="220"/>
    <n v="440"/>
    <n v="519"/>
    <n v="79.2"/>
    <x v="0"/>
  </r>
  <r>
    <x v="55"/>
    <x v="65"/>
    <x v="0"/>
    <n v="5"/>
    <n v="110"/>
    <n v="550"/>
    <n v="649"/>
    <n v="99"/>
    <x v="0"/>
  </r>
  <r>
    <x v="55"/>
    <x v="2"/>
    <x v="0"/>
    <n v="5"/>
    <n v="130"/>
    <n v="650"/>
    <n v="767"/>
    <n v="117"/>
    <x v="0"/>
  </r>
  <r>
    <x v="55"/>
    <x v="26"/>
    <x v="0"/>
    <n v="130"/>
    <n v="120"/>
    <n v="15600"/>
    <n v="18408"/>
    <n v="2808"/>
    <x v="0"/>
  </r>
  <r>
    <x v="56"/>
    <x v="65"/>
    <x v="0"/>
    <n v="52"/>
    <n v="120"/>
    <n v="6240"/>
    <n v="7363"/>
    <n v="1123.2"/>
    <x v="0"/>
  </r>
  <r>
    <x v="56"/>
    <x v="65"/>
    <x v="0"/>
    <n v="210"/>
    <n v="117"/>
    <n v="24570"/>
    <n v="28993"/>
    <n v="4422.5999999999995"/>
    <x v="0"/>
  </r>
  <r>
    <x v="56"/>
    <x v="65"/>
    <x v="0"/>
    <n v="26"/>
    <n v="130"/>
    <n v="3380"/>
    <n v="3988"/>
    <n v="608.4"/>
    <x v="0"/>
  </r>
  <r>
    <x v="56"/>
    <x v="10"/>
    <x v="0"/>
    <n v="26"/>
    <n v="115"/>
    <n v="9578"/>
    <n v="11302"/>
    <n v="1724.04"/>
    <x v="0"/>
  </r>
  <r>
    <x v="56"/>
    <x v="65"/>
    <x v="0"/>
    <n v="30"/>
    <n v="106.67"/>
    <n v="3200"/>
    <n v="3776"/>
    <n v="576"/>
    <x v="0"/>
  </r>
  <r>
    <x v="56"/>
    <x v="2"/>
    <x v="0"/>
    <n v="220"/>
    <n v="55"/>
    <n v="12100"/>
    <n v="14278"/>
    <n v="2178"/>
    <x v="0"/>
  </r>
  <r>
    <x v="57"/>
    <x v="13"/>
    <x v="0"/>
    <n v="70"/>
    <n v="77.5"/>
    <n v="5425"/>
    <n v="6402"/>
    <n v="976.5"/>
    <x v="0"/>
  </r>
  <r>
    <x v="57"/>
    <x v="10"/>
    <x v="0"/>
    <n v="100"/>
    <n v="95.5"/>
    <n v="9550"/>
    <n v="11269"/>
    <n v="1719"/>
    <x v="0"/>
  </r>
  <r>
    <x v="57"/>
    <x v="2"/>
    <x v="0"/>
    <n v="33"/>
    <n v="111.58"/>
    <n v="3682"/>
    <n v="4345"/>
    <n v="662.76"/>
    <x v="0"/>
  </r>
  <r>
    <x v="57"/>
    <x v="15"/>
    <x v="0"/>
    <n v="420"/>
    <n v="55"/>
    <n v="23100"/>
    <n v="27258"/>
    <n v="4158"/>
    <x v="0"/>
  </r>
  <r>
    <x v="57"/>
    <x v="24"/>
    <x v="0"/>
    <n v="2"/>
    <n v="294"/>
    <n v="588"/>
    <n v="694"/>
    <n v="105.83999999999999"/>
    <x v="0"/>
  </r>
  <r>
    <x v="58"/>
    <x v="10"/>
    <x v="0"/>
    <n v="5"/>
    <n v="158"/>
    <n v="790"/>
    <n v="932"/>
    <n v="142.19999999999999"/>
    <x v="0"/>
  </r>
  <r>
    <x v="58"/>
    <x v="15"/>
    <x v="0"/>
    <n v="148"/>
    <n v="98.72"/>
    <n v="14610"/>
    <n v="17240"/>
    <n v="2629.7999999999997"/>
    <x v="0"/>
  </r>
  <r>
    <x v="58"/>
    <x v="83"/>
    <x v="0"/>
    <n v="10"/>
    <n v="110"/>
    <n v="1100"/>
    <n v="1298"/>
    <n v="198"/>
    <x v="0"/>
  </r>
  <r>
    <x v="58"/>
    <x v="30"/>
    <x v="0"/>
    <n v="210"/>
    <n v="72"/>
    <n v="15120"/>
    <n v="17842"/>
    <n v="2721.6"/>
    <x v="0"/>
  </r>
  <r>
    <x v="58"/>
    <x v="0"/>
    <x v="0"/>
    <n v="2050"/>
    <n v="105"/>
    <n v="215250"/>
    <n v="253995"/>
    <n v="38745"/>
    <x v="0"/>
  </r>
  <r>
    <x v="59"/>
    <x v="0"/>
    <x v="0"/>
    <n v="10"/>
    <n v="160"/>
    <n v="1600"/>
    <n v="1888"/>
    <n v="288"/>
    <x v="0"/>
  </r>
  <r>
    <x v="59"/>
    <x v="10"/>
    <x v="0"/>
    <n v="35"/>
    <n v="75"/>
    <n v="2625"/>
    <n v="3098"/>
    <n v="472.5"/>
    <x v="0"/>
  </r>
  <r>
    <x v="59"/>
    <x v="84"/>
    <x v="0"/>
    <n v="2"/>
    <n v="120"/>
    <n v="240"/>
    <n v="283"/>
    <n v="43.199999999999996"/>
    <x v="0"/>
  </r>
  <r>
    <x v="59"/>
    <x v="2"/>
    <x v="0"/>
    <n v="78"/>
    <n v="103.33"/>
    <n v="8060"/>
    <n v="9511"/>
    <n v="1450.8"/>
    <x v="0"/>
  </r>
  <r>
    <x v="60"/>
    <x v="2"/>
    <x v="0"/>
    <n v="270"/>
    <n v="55"/>
    <n v="14850"/>
    <n v="17523"/>
    <n v="2673"/>
    <x v="0"/>
  </r>
  <r>
    <x v="60"/>
    <x v="10"/>
    <x v="0"/>
    <n v="630"/>
    <n v="75"/>
    <n v="47250"/>
    <n v="55755"/>
    <n v="8505"/>
    <x v="0"/>
  </r>
  <r>
    <x v="60"/>
    <x v="34"/>
    <x v="0"/>
    <n v="26"/>
    <n v="125"/>
    <n v="3250"/>
    <n v="3835"/>
    <n v="585"/>
    <x v="0"/>
  </r>
  <r>
    <x v="60"/>
    <x v="85"/>
    <x v="0"/>
    <n v="52"/>
    <n v="135"/>
    <n v="7020"/>
    <n v="8284"/>
    <n v="1263.5999999999999"/>
    <x v="0"/>
  </r>
  <r>
    <x v="60"/>
    <x v="2"/>
    <x v="0"/>
    <n v="20"/>
    <n v="150"/>
    <n v="3000"/>
    <n v="3540"/>
    <n v="540"/>
    <x v="0"/>
  </r>
  <r>
    <x v="60"/>
    <x v="33"/>
    <x v="0"/>
    <n v="26"/>
    <n v="115"/>
    <n v="251567.4"/>
    <n v="294822"/>
    <n v="45282.131999999998"/>
    <x v="0"/>
  </r>
  <r>
    <x v="60"/>
    <x v="5"/>
    <x v="0"/>
    <n v="5"/>
    <n v="200"/>
    <n v="1000"/>
    <n v="1180"/>
    <n v="180"/>
    <x v="0"/>
  </r>
  <r>
    <x v="60"/>
    <x v="10"/>
    <x v="0"/>
    <n v="184"/>
    <n v="196.3"/>
    <n v="36120"/>
    <n v="42622"/>
    <n v="6501.5999999999995"/>
    <x v="0"/>
  </r>
  <r>
    <x v="60"/>
    <x v="86"/>
    <x v="0"/>
    <n v="50"/>
    <n v="94"/>
    <n v="4700"/>
    <n v="5546"/>
    <n v="846"/>
    <x v="0"/>
  </r>
  <r>
    <x v="60"/>
    <x v="33"/>
    <x v="0"/>
    <n v="26"/>
    <n v="115"/>
    <n v="112061.2"/>
    <n v="131218"/>
    <n v="20171.016"/>
    <x v="0"/>
  </r>
  <r>
    <x v="60"/>
    <x v="4"/>
    <x v="0"/>
    <n v="210"/>
    <n v="80"/>
    <n v="16800"/>
    <n v="19824"/>
    <n v="3024"/>
    <x v="0"/>
  </r>
  <r>
    <x v="61"/>
    <x v="51"/>
    <x v="0"/>
    <n v="420"/>
    <n v="110"/>
    <n v="46200"/>
    <n v="54516"/>
    <n v="8316"/>
    <x v="0"/>
  </r>
  <r>
    <x v="61"/>
    <x v="15"/>
    <x v="0"/>
    <n v="210"/>
    <n v="107"/>
    <n v="22470"/>
    <n v="26515"/>
    <n v="4044.6"/>
    <x v="0"/>
  </r>
  <r>
    <x v="61"/>
    <x v="15"/>
    <x v="0"/>
    <n v="78"/>
    <n v="105"/>
    <n v="8190"/>
    <n v="9664"/>
    <n v="1474.2"/>
    <x v="0"/>
  </r>
  <r>
    <x v="61"/>
    <x v="24"/>
    <x v="0"/>
    <n v="210"/>
    <n v="80"/>
    <n v="16800"/>
    <n v="19824"/>
    <n v="3024"/>
    <x v="0"/>
  </r>
  <r>
    <x v="61"/>
    <x v="12"/>
    <x v="0"/>
    <n v="210"/>
    <n v="76"/>
    <n v="15960"/>
    <n v="18833"/>
    <n v="2872.7999999999997"/>
    <x v="0"/>
  </r>
  <r>
    <x v="61"/>
    <x v="37"/>
    <x v="0"/>
    <n v="26"/>
    <n v="120"/>
    <n v="3120"/>
    <n v="3682"/>
    <n v="561.6"/>
    <x v="0"/>
  </r>
  <r>
    <x v="61"/>
    <x v="0"/>
    <x v="0"/>
    <n v="10"/>
    <n v="120"/>
    <n v="1200"/>
    <n v="1416"/>
    <n v="216"/>
    <x v="0"/>
  </r>
  <r>
    <x v="61"/>
    <x v="29"/>
    <x v="0"/>
    <n v="20"/>
    <n v="175"/>
    <n v="3500"/>
    <n v="4130"/>
    <n v="630"/>
    <x v="0"/>
  </r>
  <r>
    <x v="61"/>
    <x v="1"/>
    <x v="0"/>
    <n v="210"/>
    <n v="90"/>
    <n v="18900"/>
    <n v="22302"/>
    <n v="3402"/>
    <x v="0"/>
  </r>
  <r>
    <x v="61"/>
    <x v="65"/>
    <x v="0"/>
    <n v="210"/>
    <n v="116"/>
    <n v="24360"/>
    <n v="28745"/>
    <n v="4384.8"/>
    <x v="0"/>
  </r>
  <r>
    <x v="61"/>
    <x v="25"/>
    <x v="0"/>
    <n v="26"/>
    <n v="116"/>
    <n v="3016"/>
    <n v="3559"/>
    <n v="542.88"/>
    <x v="0"/>
  </r>
  <r>
    <x v="61"/>
    <x v="65"/>
    <x v="0"/>
    <n v="26"/>
    <n v="115"/>
    <n v="230"/>
    <n v="256"/>
    <n v="41.4"/>
    <x v="0"/>
  </r>
  <r>
    <x v="62"/>
    <x v="0"/>
    <x v="0"/>
    <n v="5"/>
    <n v="180"/>
    <n v="900"/>
    <n v="1062"/>
    <n v="162"/>
    <x v="0"/>
  </r>
  <r>
    <x v="62"/>
    <x v="65"/>
    <x v="0"/>
    <n v="2"/>
    <n v="250"/>
    <n v="500"/>
    <n v="590"/>
    <n v="90"/>
    <x v="0"/>
  </r>
  <r>
    <x v="62"/>
    <x v="87"/>
    <x v="0"/>
    <n v="20"/>
    <n v="180"/>
    <n v="3600"/>
    <n v="4248"/>
    <n v="648"/>
    <x v="0"/>
  </r>
  <r>
    <x v="62"/>
    <x v="15"/>
    <x v="0"/>
    <n v="420"/>
    <n v="55"/>
    <n v="23100"/>
    <n v="27258"/>
    <n v="4158"/>
    <x v="0"/>
  </r>
  <r>
    <x v="62"/>
    <x v="11"/>
    <x v="0"/>
    <n v="26"/>
    <n v="125"/>
    <n v="3250"/>
    <n v="3835"/>
    <n v="585"/>
    <x v="0"/>
  </r>
  <r>
    <x v="62"/>
    <x v="42"/>
    <x v="0"/>
    <n v="104"/>
    <n v="112"/>
    <n v="11648"/>
    <n v="13745"/>
    <n v="2096.64"/>
    <x v="0"/>
  </r>
  <r>
    <x v="62"/>
    <x v="10"/>
    <x v="0"/>
    <n v="30"/>
    <n v="170"/>
    <n v="5100"/>
    <n v="6018"/>
    <n v="918"/>
    <x v="0"/>
  </r>
  <r>
    <x v="62"/>
    <x v="33"/>
    <x v="0"/>
    <n v="100"/>
    <n v="195"/>
    <n v="19500"/>
    <n v="23010"/>
    <n v="3510"/>
    <x v="0"/>
  </r>
  <r>
    <x v="62"/>
    <x v="2"/>
    <x v="0"/>
    <n v="220"/>
    <n v="55"/>
    <n v="12100"/>
    <n v="14278"/>
    <n v="2178"/>
    <x v="0"/>
  </r>
  <r>
    <x v="62"/>
    <x v="86"/>
    <x v="0"/>
    <n v="50"/>
    <n v="94"/>
    <n v="4700"/>
    <n v="5546"/>
    <n v="846"/>
    <x v="0"/>
  </r>
  <r>
    <x v="63"/>
    <x v="22"/>
    <x v="0"/>
    <n v="26"/>
    <n v="108"/>
    <n v="2808"/>
    <n v="3313"/>
    <n v="505.44"/>
    <x v="0"/>
  </r>
  <r>
    <x v="63"/>
    <x v="1"/>
    <x v="0"/>
    <n v="122"/>
    <n v="105.66"/>
    <n v="12890"/>
    <n v="15210"/>
    <n v="2320.1999999999998"/>
    <x v="0"/>
  </r>
  <r>
    <x v="63"/>
    <x v="65"/>
    <x v="0"/>
    <n v="210"/>
    <n v="90"/>
    <n v="18900"/>
    <n v="22302"/>
    <n v="3402"/>
    <x v="0"/>
  </r>
  <r>
    <x v="63"/>
    <x v="65"/>
    <x v="0"/>
    <n v="210"/>
    <n v="100"/>
    <n v="21000"/>
    <n v="24780"/>
    <n v="3780"/>
    <x v="0"/>
  </r>
  <r>
    <x v="64"/>
    <x v="15"/>
    <x v="0"/>
    <n v="35"/>
    <n v="125"/>
    <n v="4375"/>
    <n v="5163"/>
    <n v="787.5"/>
    <x v="0"/>
  </r>
  <r>
    <x v="64"/>
    <x v="15"/>
    <x v="0"/>
    <n v="26"/>
    <n v="115"/>
    <n v="24570"/>
    <n v="28993"/>
    <n v="4422.5999999999995"/>
    <x v="0"/>
  </r>
  <r>
    <x v="64"/>
    <x v="32"/>
    <x v="0"/>
    <n v="35"/>
    <n v="85"/>
    <n v="2975"/>
    <n v="3511"/>
    <n v="535.5"/>
    <x v="0"/>
  </r>
  <r>
    <x v="64"/>
    <x v="50"/>
    <x v="0"/>
    <n v="98"/>
    <n v="108"/>
    <n v="10584"/>
    <n v="12489"/>
    <n v="1905.12"/>
    <x v="0"/>
  </r>
  <r>
    <x v="64"/>
    <x v="65"/>
    <x v="0"/>
    <n v="37"/>
    <n v="124.32"/>
    <n v="4600"/>
    <n v="5428"/>
    <n v="828"/>
    <x v="0"/>
  </r>
  <r>
    <x v="64"/>
    <x v="2"/>
    <x v="0"/>
    <n v="85"/>
    <n v="90.12"/>
    <n v="7660"/>
    <n v="9039"/>
    <n v="1378.8"/>
    <x v="0"/>
  </r>
  <r>
    <x v="64"/>
    <x v="14"/>
    <x v="0"/>
    <n v="25"/>
    <n v="175"/>
    <n v="4375"/>
    <n v="5163"/>
    <n v="787.5"/>
    <x v="0"/>
  </r>
  <r>
    <x v="64"/>
    <x v="21"/>
    <x v="0"/>
    <n v="840"/>
    <n v="63.5"/>
    <n v="53340"/>
    <n v="62941"/>
    <n v="9601.1999999999989"/>
    <x v="0"/>
  </r>
  <r>
    <x v="64"/>
    <x v="65"/>
    <x v="0"/>
    <n v="210"/>
    <n v="62"/>
    <n v="13020"/>
    <n v="15364"/>
    <n v="2343.6"/>
    <x v="0"/>
  </r>
  <r>
    <x v="64"/>
    <x v="65"/>
    <x v="0"/>
    <n v="52"/>
    <n v="135.5"/>
    <n v="7046"/>
    <n v="8314"/>
    <n v="1268.28"/>
    <x v="0"/>
  </r>
  <r>
    <x v="64"/>
    <x v="24"/>
    <x v="0"/>
    <n v="26"/>
    <n v="80"/>
    <n v="2080"/>
    <n v="2454"/>
    <n v="374.4"/>
    <x v="0"/>
  </r>
  <r>
    <x v="64"/>
    <x v="7"/>
    <x v="0"/>
    <n v="24"/>
    <n v="160"/>
    <n v="3840"/>
    <n v="4531"/>
    <n v="691.19999999999993"/>
    <x v="0"/>
  </r>
  <r>
    <x v="65"/>
    <x v="65"/>
    <x v="0"/>
    <n v="5"/>
    <n v="190"/>
    <n v="950"/>
    <n v="1121"/>
    <n v="171"/>
    <x v="0"/>
  </r>
  <r>
    <x v="65"/>
    <x v="10"/>
    <x v="0"/>
    <n v="78"/>
    <n v="105"/>
    <n v="8190"/>
    <n v="9664"/>
    <n v="1474.2"/>
    <x v="0"/>
  </r>
  <r>
    <x v="65"/>
    <x v="65"/>
    <x v="0"/>
    <n v="210"/>
    <n v="90"/>
    <n v="18900"/>
    <n v="22302"/>
    <n v="3402"/>
    <x v="0"/>
  </r>
  <r>
    <x v="65"/>
    <x v="10"/>
    <x v="0"/>
    <n v="130"/>
    <n v="95"/>
    <n v="12350"/>
    <n v="14573"/>
    <n v="2223"/>
    <x v="0"/>
  </r>
  <r>
    <x v="65"/>
    <x v="30"/>
    <x v="0"/>
    <n v="5"/>
    <n v="175"/>
    <n v="875"/>
    <n v="1033"/>
    <n v="157.5"/>
    <x v="0"/>
  </r>
  <r>
    <x v="66"/>
    <x v="34"/>
    <x v="0"/>
    <n v="52"/>
    <n v="125"/>
    <n v="6500"/>
    <n v="7670"/>
    <n v="1170"/>
    <x v="0"/>
  </r>
  <r>
    <x v="66"/>
    <x v="44"/>
    <x v="0"/>
    <n v="156"/>
    <n v="147.5"/>
    <n v="23010"/>
    <n v="27152"/>
    <n v="4141.8"/>
    <x v="0"/>
  </r>
  <r>
    <x v="66"/>
    <x v="65"/>
    <x v="0"/>
    <n v="3"/>
    <n v="200"/>
    <n v="600"/>
    <n v="708"/>
    <n v="108"/>
    <x v="0"/>
  </r>
  <r>
    <x v="66"/>
    <x v="65"/>
    <x v="0"/>
    <n v="5"/>
    <n v="160"/>
    <n v="800"/>
    <n v="944"/>
    <n v="144"/>
    <x v="0"/>
  </r>
  <r>
    <x v="66"/>
    <x v="73"/>
    <x v="0"/>
    <n v="25"/>
    <n v="120"/>
    <n v="3000"/>
    <n v="3540"/>
    <n v="540"/>
    <x v="0"/>
  </r>
  <r>
    <x v="66"/>
    <x v="29"/>
    <x v="0"/>
    <n v="100"/>
    <n v="335"/>
    <n v="33500"/>
    <n v="39530"/>
    <n v="6030"/>
    <x v="0"/>
  </r>
  <r>
    <x v="67"/>
    <x v="67"/>
    <x v="0"/>
    <n v="210"/>
    <n v="110"/>
    <n v="23100"/>
    <n v="27258"/>
    <n v="4158"/>
    <x v="0"/>
  </r>
  <r>
    <x v="67"/>
    <x v="4"/>
    <x v="0"/>
    <n v="26"/>
    <n v="102"/>
    <n v="2652"/>
    <n v="3129"/>
    <n v="477.35999999999996"/>
    <x v="0"/>
  </r>
  <r>
    <x v="67"/>
    <x v="2"/>
    <x v="0"/>
    <n v="1050"/>
    <n v="54.5"/>
    <n v="57225"/>
    <n v="67526"/>
    <n v="10300.5"/>
    <x v="0"/>
  </r>
  <r>
    <x v="67"/>
    <x v="30"/>
    <x v="0"/>
    <n v="26"/>
    <n v="115"/>
    <n v="7750"/>
    <n v="9145"/>
    <n v="1395"/>
    <x v="0"/>
  </r>
  <r>
    <x v="67"/>
    <x v="65"/>
    <x v="0"/>
    <n v="2"/>
    <n v="299"/>
    <n v="598"/>
    <n v="706"/>
    <n v="107.64"/>
    <x v="0"/>
  </r>
  <r>
    <x v="67"/>
    <x v="65"/>
    <x v="0"/>
    <n v="25"/>
    <n v="80"/>
    <n v="2000"/>
    <n v="2360"/>
    <n v="360"/>
    <x v="0"/>
  </r>
  <r>
    <x v="67"/>
    <x v="88"/>
    <x v="0"/>
    <n v="50"/>
    <n v="50"/>
    <n v="2500"/>
    <n v="2625"/>
    <n v="450"/>
    <x v="0"/>
  </r>
  <r>
    <x v="67"/>
    <x v="65"/>
    <x v="0"/>
    <n v="840"/>
    <n v="80"/>
    <n v="67200"/>
    <n v="79296"/>
    <n v="12096"/>
    <x v="0"/>
  </r>
  <r>
    <x v="67"/>
    <x v="89"/>
    <x v="0"/>
    <n v="62"/>
    <n v="103.06"/>
    <n v="6390"/>
    <n v="7540"/>
    <n v="1150.2"/>
    <x v="0"/>
  </r>
  <r>
    <x v="68"/>
    <x v="10"/>
    <x v="0"/>
    <n v="78"/>
    <n v="120"/>
    <n v="9360"/>
    <n v="11045"/>
    <n v="1684.8"/>
    <x v="0"/>
  </r>
  <r>
    <x v="68"/>
    <x v="48"/>
    <x v="0"/>
    <n v="26"/>
    <n v="115"/>
    <n v="44150"/>
    <n v="52097"/>
    <n v="7947"/>
    <x v="0"/>
  </r>
  <r>
    <x v="68"/>
    <x v="10"/>
    <x v="0"/>
    <n v="2"/>
    <n v="816.75"/>
    <n v="1633.5"/>
    <n v="1928"/>
    <n v="294.02999999999997"/>
    <x v="0"/>
  </r>
  <r>
    <x v="68"/>
    <x v="65"/>
    <x v="0"/>
    <n v="6"/>
    <n v="304.8"/>
    <n v="1828.8"/>
    <n v="2158"/>
    <n v="329.18399999999997"/>
    <x v="0"/>
  </r>
  <r>
    <x v="68"/>
    <x v="65"/>
    <x v="0"/>
    <n v="150"/>
    <n v="270"/>
    <n v="40500"/>
    <n v="47790"/>
    <n v="7290"/>
    <x v="0"/>
  </r>
  <r>
    <x v="69"/>
    <x v="65"/>
    <x v="0"/>
    <n v="425"/>
    <n v="123.41"/>
    <n v="52450"/>
    <n v="61891"/>
    <n v="9441"/>
    <x v="0"/>
  </r>
  <r>
    <x v="69"/>
    <x v="12"/>
    <x v="0"/>
    <n v="420"/>
    <n v="76"/>
    <n v="31920"/>
    <n v="37666"/>
    <n v="5745.5999999999995"/>
    <x v="0"/>
  </r>
  <r>
    <x v="69"/>
    <x v="65"/>
    <x v="0"/>
    <n v="52"/>
    <n v="115"/>
    <n v="5980"/>
    <n v="7056"/>
    <n v="1076.3999999999999"/>
    <x v="0"/>
  </r>
  <r>
    <x v="69"/>
    <x v="13"/>
    <x v="0"/>
    <n v="70"/>
    <n v="70"/>
    <n v="4900"/>
    <n v="5782"/>
    <n v="882"/>
    <x v="0"/>
  </r>
  <r>
    <x v="69"/>
    <x v="65"/>
    <x v="0"/>
    <n v="10"/>
    <n v="60"/>
    <n v="600"/>
    <n v="630"/>
    <n v="108"/>
    <x v="0"/>
  </r>
  <r>
    <x v="69"/>
    <x v="22"/>
    <x v="0"/>
    <n v="52"/>
    <n v="108"/>
    <n v="5616"/>
    <n v="6627"/>
    <n v="1010.88"/>
    <x v="0"/>
  </r>
  <r>
    <x v="69"/>
    <x v="10"/>
    <x v="0"/>
    <n v="630"/>
    <n v="75"/>
    <n v="47250"/>
    <n v="55755"/>
    <n v="8505"/>
    <x v="0"/>
  </r>
  <r>
    <x v="69"/>
    <x v="41"/>
    <x v="0"/>
    <n v="5"/>
    <n v="60"/>
    <n v="300"/>
    <n v="315"/>
    <n v="54"/>
    <x v="0"/>
  </r>
  <r>
    <x v="69"/>
    <x v="10"/>
    <x v="0"/>
    <n v="210"/>
    <n v="86"/>
    <n v="18060"/>
    <n v="21311"/>
    <n v="3250.7999999999997"/>
    <x v="0"/>
  </r>
  <r>
    <x v="69"/>
    <x v="15"/>
    <x v="0"/>
    <n v="96"/>
    <n v="105.27"/>
    <n v="10106"/>
    <n v="11925"/>
    <n v="1819.08"/>
    <x v="0"/>
  </r>
  <r>
    <x v="70"/>
    <x v="62"/>
    <x v="0"/>
    <n v="135"/>
    <n v="138.06"/>
    <n v="18638"/>
    <n v="21993"/>
    <n v="3354.8399999999997"/>
    <x v="0"/>
  </r>
  <r>
    <x v="70"/>
    <x v="15"/>
    <x v="0"/>
    <n v="52"/>
    <n v="125"/>
    <n v="6500"/>
    <n v="7670"/>
    <n v="1170"/>
    <x v="0"/>
  </r>
  <r>
    <x v="70"/>
    <x v="65"/>
    <x v="0"/>
    <n v="5"/>
    <n v="115"/>
    <n v="575"/>
    <n v="679"/>
    <n v="103.5"/>
    <x v="0"/>
  </r>
  <r>
    <x v="70"/>
    <x v="65"/>
    <x v="0"/>
    <n v="1050"/>
    <n v="71"/>
    <n v="74550"/>
    <n v="87969"/>
    <n v="13419"/>
    <x v="0"/>
  </r>
  <r>
    <x v="70"/>
    <x v="90"/>
    <x v="0"/>
    <n v="40"/>
    <n v="120"/>
    <n v="4800"/>
    <n v="5664"/>
    <n v="864"/>
    <x v="0"/>
  </r>
  <r>
    <x v="70"/>
    <x v="91"/>
    <x v="0"/>
    <n v="25"/>
    <n v="90"/>
    <n v="2250"/>
    <n v="2655"/>
    <n v="405"/>
    <x v="0"/>
  </r>
  <r>
    <x v="70"/>
    <x v="91"/>
    <x v="0"/>
    <n v="25"/>
    <n v="90"/>
    <n v="2250"/>
    <n v="2655"/>
    <n v="405"/>
    <x v="0"/>
  </r>
  <r>
    <x v="70"/>
    <x v="92"/>
    <x v="0"/>
    <n v="1570"/>
    <n v="102.04"/>
    <n v="160200"/>
    <n v="189036"/>
    <n v="28836"/>
    <x v="0"/>
  </r>
  <r>
    <x v="70"/>
    <x v="2"/>
    <x v="0"/>
    <n v="10"/>
    <n v="125"/>
    <n v="1250"/>
    <n v="1475"/>
    <n v="225"/>
    <x v="0"/>
  </r>
  <r>
    <x v="70"/>
    <x v="10"/>
    <x v="0"/>
    <n v="35"/>
    <n v="90"/>
    <n v="3150"/>
    <n v="3717"/>
    <n v="567"/>
    <x v="0"/>
  </r>
  <r>
    <x v="71"/>
    <x v="2"/>
    <x v="0"/>
    <n v="220"/>
    <n v="55"/>
    <n v="12100"/>
    <n v="14278"/>
    <n v="2178"/>
    <x v="0"/>
  </r>
  <r>
    <x v="71"/>
    <x v="1"/>
    <x v="0"/>
    <n v="366"/>
    <n v="109.18"/>
    <n v="39960"/>
    <n v="47153"/>
    <n v="7192.8"/>
    <x v="0"/>
  </r>
  <r>
    <x v="71"/>
    <x v="12"/>
    <x v="0"/>
    <n v="210"/>
    <n v="76"/>
    <n v="15960"/>
    <n v="18833"/>
    <n v="2872.7999999999997"/>
    <x v="0"/>
  </r>
  <r>
    <x v="71"/>
    <x v="7"/>
    <x v="0"/>
    <n v="87"/>
    <n v="99.31"/>
    <n v="8640"/>
    <n v="10195"/>
    <n v="1555.2"/>
    <x v="0"/>
  </r>
  <r>
    <x v="71"/>
    <x v="12"/>
    <x v="0"/>
    <n v="210"/>
    <n v="76"/>
    <n v="15960"/>
    <n v="18833"/>
    <n v="2872.7999999999997"/>
    <x v="0"/>
  </r>
  <r>
    <x v="71"/>
    <x v="0"/>
    <x v="0"/>
    <n v="10"/>
    <n v="160"/>
    <n v="1600"/>
    <n v="1888"/>
    <n v="288"/>
    <x v="0"/>
  </r>
  <r>
    <x v="71"/>
    <x v="65"/>
    <x v="0"/>
    <n v="20"/>
    <n v="90"/>
    <n v="1800"/>
    <n v="2124"/>
    <n v="324"/>
    <x v="0"/>
  </r>
  <r>
    <x v="71"/>
    <x v="42"/>
    <x v="0"/>
    <n v="78"/>
    <n v="103"/>
    <n v="8034"/>
    <n v="9480"/>
    <n v="1446.12"/>
    <x v="0"/>
  </r>
  <r>
    <x v="71"/>
    <x v="15"/>
    <x v="0"/>
    <n v="20"/>
    <n v="83"/>
    <n v="1660"/>
    <n v="1959"/>
    <n v="298.8"/>
    <x v="0"/>
  </r>
  <r>
    <x v="71"/>
    <x v="34"/>
    <x v="0"/>
    <n v="52"/>
    <n v="125"/>
    <n v="6500"/>
    <n v="7670"/>
    <n v="1170"/>
    <x v="0"/>
  </r>
  <r>
    <x v="71"/>
    <x v="53"/>
    <x v="0"/>
    <n v="5"/>
    <n v="90"/>
    <n v="450"/>
    <n v="531"/>
    <n v="81"/>
    <x v="0"/>
  </r>
  <r>
    <x v="72"/>
    <x v="15"/>
    <x v="0"/>
    <n v="156"/>
    <n v="95"/>
    <n v="14820"/>
    <n v="17488"/>
    <n v="2667.6"/>
    <x v="0"/>
  </r>
  <r>
    <x v="72"/>
    <x v="65"/>
    <x v="0"/>
    <n v="5250"/>
    <n v="61"/>
    <n v="320250"/>
    <n v="377895"/>
    <n v="57645"/>
    <x v="0"/>
  </r>
  <r>
    <x v="72"/>
    <x v="65"/>
    <x v="0"/>
    <n v="26"/>
    <n v="120"/>
    <n v="3120"/>
    <n v="3682"/>
    <n v="561.6"/>
    <x v="0"/>
  </r>
  <r>
    <x v="72"/>
    <x v="65"/>
    <x v="0"/>
    <n v="26"/>
    <n v="115"/>
    <n v="2990"/>
    <n v="3528"/>
    <n v="538.19999999999993"/>
    <x v="0"/>
  </r>
  <r>
    <x v="72"/>
    <x v="4"/>
    <x v="0"/>
    <n v="52"/>
    <n v="102"/>
    <n v="5304"/>
    <n v="6259"/>
    <n v="954.71999999999991"/>
    <x v="0"/>
  </r>
  <r>
    <x v="72"/>
    <x v="4"/>
    <x v="0"/>
    <n v="420"/>
    <n v="80"/>
    <n v="33600"/>
    <n v="39648"/>
    <n v="6048"/>
    <x v="0"/>
  </r>
  <r>
    <x v="72"/>
    <x v="10"/>
    <x v="0"/>
    <n v="600"/>
    <n v="86.67"/>
    <n v="52000"/>
    <n v="61360"/>
    <n v="9360"/>
    <x v="0"/>
  </r>
  <r>
    <x v="72"/>
    <x v="2"/>
    <x v="0"/>
    <n v="220"/>
    <n v="55"/>
    <n v="12100"/>
    <n v="14278"/>
    <n v="2178"/>
    <x v="0"/>
  </r>
  <r>
    <x v="72"/>
    <x v="0"/>
    <x v="0"/>
    <n v="35"/>
    <n v="200"/>
    <n v="7000"/>
    <n v="8260"/>
    <n v="1260"/>
    <x v="0"/>
  </r>
  <r>
    <x v="73"/>
    <x v="43"/>
    <x v="0"/>
    <n v="62"/>
    <n v="121.45"/>
    <n v="7530"/>
    <n v="8885"/>
    <n v="1355.3999999999999"/>
    <x v="0"/>
  </r>
  <r>
    <x v="73"/>
    <x v="0"/>
    <x v="0"/>
    <n v="26"/>
    <n v="128"/>
    <n v="3328"/>
    <n v="3927"/>
    <n v="599.04"/>
    <x v="0"/>
  </r>
  <r>
    <x v="73"/>
    <x v="15"/>
    <x v="0"/>
    <n v="420"/>
    <n v="55"/>
    <n v="23100"/>
    <n v="27258"/>
    <n v="4158"/>
    <x v="0"/>
  </r>
  <r>
    <x v="73"/>
    <x v="65"/>
    <x v="0"/>
    <n v="26"/>
    <n v="115"/>
    <n v="9790"/>
    <n v="11162"/>
    <n v="1762.2"/>
    <x v="0"/>
  </r>
  <r>
    <x v="73"/>
    <x v="16"/>
    <x v="0"/>
    <n v="35"/>
    <n v="75"/>
    <n v="2625"/>
    <n v="3097.5"/>
    <n v="472.5"/>
    <x v="0"/>
  </r>
  <r>
    <x v="73"/>
    <x v="55"/>
    <x v="0"/>
    <n v="26"/>
    <n v="115"/>
    <n v="27510"/>
    <n v="32462"/>
    <n v="4951.8"/>
    <x v="0"/>
  </r>
  <r>
    <x v="73"/>
    <x v="2"/>
    <x v="0"/>
    <n v="5"/>
    <n v="115"/>
    <n v="575"/>
    <n v="679"/>
    <n v="103.5"/>
    <x v="0"/>
  </r>
  <r>
    <x v="73"/>
    <x v="44"/>
    <x v="0"/>
    <n v="210"/>
    <n v="153"/>
    <n v="32130"/>
    <n v="37913"/>
    <n v="5783.4"/>
    <x v="0"/>
  </r>
  <r>
    <x v="73"/>
    <x v="54"/>
    <x v="0"/>
    <n v="56"/>
    <n v="154.11000000000001"/>
    <n v="8630"/>
    <n v="10183"/>
    <n v="1553.3999999999999"/>
    <x v="0"/>
  </r>
  <r>
    <x v="74"/>
    <x v="65"/>
    <x v="0"/>
    <n v="262"/>
    <n v="106.98"/>
    <n v="28030"/>
    <n v="33075"/>
    <n v="5045.3999999999996"/>
    <x v="0"/>
  </r>
  <r>
    <x v="74"/>
    <x v="2"/>
    <x v="0"/>
    <n v="420"/>
    <n v="54.5"/>
    <n v="22890"/>
    <n v="27010"/>
    <n v="4120.2"/>
    <x v="0"/>
  </r>
  <r>
    <x v="74"/>
    <x v="65"/>
    <x v="0"/>
    <n v="840"/>
    <n v="71"/>
    <n v="59640"/>
    <n v="70375"/>
    <n v="10735.199999999999"/>
    <x v="0"/>
  </r>
  <r>
    <x v="74"/>
    <x v="15"/>
    <x v="0"/>
    <n v="26"/>
    <n v="120"/>
    <n v="3120"/>
    <n v="3682"/>
    <n v="561.6"/>
    <x v="0"/>
  </r>
  <r>
    <x v="74"/>
    <x v="2"/>
    <x v="0"/>
    <n v="150"/>
    <n v="163"/>
    <n v="24450"/>
    <n v="28851"/>
    <n v="4401"/>
    <x v="0"/>
  </r>
  <r>
    <x v="74"/>
    <x v="15"/>
    <x v="0"/>
    <n v="630"/>
    <n v="59"/>
    <n v="37170"/>
    <n v="43861"/>
    <n v="6690.5999999999995"/>
    <x v="0"/>
  </r>
  <r>
    <x v="74"/>
    <x v="65"/>
    <x v="0"/>
    <n v="262"/>
    <n v="149.24"/>
    <n v="39100"/>
    <n v="46138"/>
    <n v="7038"/>
    <x v="0"/>
  </r>
  <r>
    <x v="75"/>
    <x v="2"/>
    <x v="0"/>
    <n v="220"/>
    <n v="55"/>
    <n v="12100"/>
    <n v="14278"/>
    <n v="2178"/>
    <x v="0"/>
  </r>
  <r>
    <x v="75"/>
    <x v="1"/>
    <x v="0"/>
    <n v="384"/>
    <n v="103.1"/>
    <n v="39590"/>
    <n v="46716"/>
    <n v="7126.2"/>
    <x v="0"/>
  </r>
  <r>
    <x v="75"/>
    <x v="2"/>
    <x v="0"/>
    <n v="50"/>
    <n v="96.7"/>
    <n v="4835"/>
    <n v="5705"/>
    <n v="870.3"/>
    <x v="0"/>
  </r>
  <r>
    <x v="75"/>
    <x v="65"/>
    <x v="0"/>
    <n v="840"/>
    <n v="71"/>
    <n v="59640"/>
    <n v="70375"/>
    <n v="10735.199999999999"/>
    <x v="0"/>
  </r>
  <r>
    <x v="75"/>
    <x v="0"/>
    <x v="0"/>
    <n v="5"/>
    <n v="160"/>
    <n v="800"/>
    <n v="944"/>
    <n v="144"/>
    <x v="0"/>
  </r>
  <r>
    <x v="75"/>
    <x v="65"/>
    <x v="0"/>
    <n v="104"/>
    <n v="114.5"/>
    <n v="11908"/>
    <n v="14051"/>
    <n v="2143.44"/>
    <x v="0"/>
  </r>
  <r>
    <x v="75"/>
    <x v="4"/>
    <x v="0"/>
    <n v="215"/>
    <n v="80.47"/>
    <n v="17300"/>
    <n v="20414"/>
    <n v="3114"/>
    <x v="0"/>
  </r>
  <r>
    <x v="75"/>
    <x v="27"/>
    <x v="0"/>
    <n v="210"/>
    <n v="118"/>
    <n v="24780"/>
    <n v="29240"/>
    <n v="4460.3999999999996"/>
    <x v="0"/>
  </r>
  <r>
    <x v="75"/>
    <x v="4"/>
    <x v="0"/>
    <n v="130"/>
    <n v="103.8"/>
    <n v="13494"/>
    <n v="15923"/>
    <n v="2428.92"/>
    <x v="0"/>
  </r>
  <r>
    <x v="75"/>
    <x v="92"/>
    <x v="0"/>
    <n v="1"/>
    <n v="1800"/>
    <n v="1800"/>
    <n v="1890"/>
    <n v="324"/>
    <x v="0"/>
  </r>
  <r>
    <x v="76"/>
    <x v="65"/>
    <x v="0"/>
    <n v="26"/>
    <n v="79"/>
    <n v="2054"/>
    <n v="2424"/>
    <n v="369.71999999999997"/>
    <x v="0"/>
  </r>
  <r>
    <x v="76"/>
    <x v="2"/>
    <x v="0"/>
    <n v="30"/>
    <n v="170"/>
    <n v="5100"/>
    <n v="6018"/>
    <n v="918"/>
    <x v="0"/>
  </r>
  <r>
    <x v="76"/>
    <x v="65"/>
    <x v="0"/>
    <n v="1050"/>
    <n v="69"/>
    <n v="72450"/>
    <n v="85491"/>
    <n v="13041"/>
    <x v="0"/>
  </r>
  <r>
    <x v="76"/>
    <x v="4"/>
    <x v="0"/>
    <n v="5"/>
    <n v="60"/>
    <n v="300"/>
    <n v="315"/>
    <n v="54"/>
    <x v="0"/>
  </r>
  <r>
    <x v="76"/>
    <x v="65"/>
    <x v="0"/>
    <n v="26"/>
    <n v="140"/>
    <n v="3640"/>
    <n v="4295"/>
    <n v="655.19999999999993"/>
    <x v="0"/>
  </r>
  <r>
    <x v="76"/>
    <x v="10"/>
    <x v="0"/>
    <n v="35"/>
    <n v="75"/>
    <n v="2625"/>
    <n v="3098"/>
    <n v="472.5"/>
    <x v="0"/>
  </r>
  <r>
    <x v="76"/>
    <x v="16"/>
    <x v="0"/>
    <n v="70"/>
    <n v="75"/>
    <n v="5250"/>
    <n v="6195"/>
    <n v="945"/>
    <x v="0"/>
  </r>
  <r>
    <x v="76"/>
    <x v="65"/>
    <x v="0"/>
    <n v="5"/>
    <n v="90"/>
    <n v="450"/>
    <n v="531"/>
    <n v="81"/>
    <x v="0"/>
  </r>
  <r>
    <x v="77"/>
    <x v="10"/>
    <x v="0"/>
    <n v="104"/>
    <n v="102.5"/>
    <n v="10660"/>
    <n v="12579"/>
    <n v="1918.8"/>
    <x v="0"/>
  </r>
  <r>
    <x v="77"/>
    <x v="93"/>
    <x v="0"/>
    <n v="26"/>
    <n v="190"/>
    <n v="4940"/>
    <n v="5829"/>
    <n v="889.19999999999993"/>
    <x v="0"/>
  </r>
  <r>
    <x v="77"/>
    <x v="15"/>
    <x v="0"/>
    <n v="262"/>
    <n v="87.37"/>
    <n v="22890"/>
    <n v="27010"/>
    <n v="4120.2"/>
    <x v="0"/>
  </r>
  <r>
    <x v="77"/>
    <x v="24"/>
    <x v="0"/>
    <n v="2"/>
    <n v="201.75"/>
    <n v="403.5"/>
    <n v="476"/>
    <n v="72.63"/>
    <x v="0"/>
  </r>
  <r>
    <x v="78"/>
    <x v="27"/>
    <x v="0"/>
    <n v="35"/>
    <n v="112"/>
    <n v="3920"/>
    <n v="4626"/>
    <n v="705.6"/>
    <x v="0"/>
  </r>
  <r>
    <x v="78"/>
    <x v="15"/>
    <x v="0"/>
    <n v="420"/>
    <n v="56"/>
    <n v="23520"/>
    <n v="27754"/>
    <n v="4233.5999999999995"/>
    <x v="0"/>
  </r>
  <r>
    <x v="78"/>
    <x v="2"/>
    <x v="0"/>
    <n v="61"/>
    <n v="84.26"/>
    <n v="5140"/>
    <n v="6065"/>
    <n v="925.19999999999993"/>
    <x v="0"/>
  </r>
  <r>
    <x v="78"/>
    <x v="65"/>
    <x v="0"/>
    <n v="420"/>
    <n v="103"/>
    <n v="43260"/>
    <n v="51047"/>
    <n v="7786.7999999999993"/>
    <x v="0"/>
  </r>
  <r>
    <x v="0"/>
    <x v="94"/>
    <x v="1"/>
    <n v="6"/>
    <n v="1450"/>
    <n v="8700"/>
    <n v="10266"/>
    <n v="1566"/>
    <x v="1"/>
  </r>
  <r>
    <x v="0"/>
    <x v="95"/>
    <x v="1"/>
    <n v="288"/>
    <n v="3.63"/>
    <n v="1045.6400000000001"/>
    <n v="1233.8552000000002"/>
    <n v="188.21520000000001"/>
    <x v="1"/>
  </r>
  <r>
    <x v="0"/>
    <x v="96"/>
    <x v="1"/>
    <n v="250"/>
    <n v="270"/>
    <n v="67500"/>
    <n v="79650"/>
    <n v="12150"/>
    <x v="1"/>
  </r>
  <r>
    <x v="1"/>
    <x v="97"/>
    <x v="1"/>
    <n v="26"/>
    <n v="100.92"/>
    <n v="2624"/>
    <n v="3096.32"/>
    <n v="472.32"/>
    <x v="1"/>
  </r>
  <r>
    <x v="2"/>
    <x v="98"/>
    <x v="1"/>
    <n v="20"/>
    <n v="240"/>
    <n v="4800"/>
    <n v="5664"/>
    <n v="864"/>
    <x v="1"/>
  </r>
  <r>
    <x v="3"/>
    <x v="99"/>
    <x v="1"/>
    <n v="12"/>
    <n v="261.02"/>
    <n v="3132.24"/>
    <n v="3696.0431999999996"/>
    <n v="563.80319999999995"/>
    <x v="1"/>
  </r>
  <r>
    <x v="5"/>
    <x v="98"/>
    <x v="1"/>
    <n v="390"/>
    <n v="223"/>
    <n v="86970"/>
    <n v="102624.6"/>
    <n v="15654.599999999999"/>
    <x v="1"/>
  </r>
  <r>
    <x v="6"/>
    <x v="100"/>
    <x v="1"/>
    <n v="1050"/>
    <n v="83"/>
    <n v="87150"/>
    <n v="102837"/>
    <n v="15687"/>
    <x v="1"/>
  </r>
  <r>
    <x v="10"/>
    <x v="101"/>
    <x v="1"/>
    <n v="500"/>
    <n v="34"/>
    <n v="17000"/>
    <n v="20060"/>
    <n v="3060"/>
    <x v="1"/>
  </r>
  <r>
    <x v="11"/>
    <x v="100"/>
    <x v="1"/>
    <n v="420"/>
    <n v="104"/>
    <n v="43680"/>
    <n v="51542.400000000001"/>
    <n v="7862.4"/>
    <x v="1"/>
  </r>
  <r>
    <x v="11"/>
    <x v="102"/>
    <x v="1"/>
    <n v="100"/>
    <n v="110"/>
    <n v="11000"/>
    <n v="12980"/>
    <n v="1980"/>
    <x v="1"/>
  </r>
  <r>
    <x v="12"/>
    <x v="103"/>
    <x v="1"/>
    <n v="780"/>
    <n v="88.82"/>
    <n v="69279.600000000006"/>
    <n v="81749.928000000014"/>
    <n v="12470.328000000001"/>
    <x v="1"/>
  </r>
  <r>
    <x v="13"/>
    <x v="104"/>
    <x v="1"/>
    <n v="287"/>
    <n v="189.7"/>
    <n v="54443.9"/>
    <n v="64243.802000000003"/>
    <n v="9799.902"/>
    <x v="1"/>
  </r>
  <r>
    <x v="13"/>
    <x v="105"/>
    <x v="1"/>
    <n v="5"/>
    <n v="909.6"/>
    <n v="4548"/>
    <n v="5366.64"/>
    <n v="818.64"/>
    <x v="1"/>
  </r>
  <r>
    <x v="13"/>
    <x v="106"/>
    <x v="1"/>
    <n v="1000"/>
    <n v="158"/>
    <n v="158000"/>
    <n v="186440"/>
    <n v="28440"/>
    <x v="1"/>
  </r>
  <r>
    <x v="16"/>
    <x v="107"/>
    <x v="1"/>
    <n v="200"/>
    <n v="121"/>
    <n v="24200"/>
    <n v="28556"/>
    <n v="4356"/>
    <x v="1"/>
  </r>
  <r>
    <x v="17"/>
    <x v="100"/>
    <x v="1"/>
    <n v="840"/>
    <n v="83"/>
    <n v="69720"/>
    <n v="82269.600000000006"/>
    <n v="12549.6"/>
    <x v="1"/>
  </r>
  <r>
    <x v="18"/>
    <x v="108"/>
    <x v="1"/>
    <n v="8475"/>
    <n v="70"/>
    <n v="593250"/>
    <n v="700035"/>
    <n v="106785"/>
    <x v="1"/>
  </r>
  <r>
    <x v="18"/>
    <x v="109"/>
    <x v="1"/>
    <n v="300"/>
    <n v="121"/>
    <n v="36300"/>
    <n v="42834"/>
    <n v="6534"/>
    <x v="1"/>
  </r>
  <r>
    <x v="19"/>
    <x v="110"/>
    <x v="1"/>
    <n v="100"/>
    <n v="269"/>
    <n v="26900"/>
    <n v="31742"/>
    <n v="4842"/>
    <x v="1"/>
  </r>
  <r>
    <x v="21"/>
    <x v="108"/>
    <x v="1"/>
    <n v="9690"/>
    <n v="70"/>
    <n v="678300"/>
    <n v="800394"/>
    <n v="122094"/>
    <x v="1"/>
  </r>
  <r>
    <x v="21"/>
    <x v="111"/>
    <x v="1"/>
    <n v="26"/>
    <n v="92.5"/>
    <n v="2405"/>
    <n v="2837.9"/>
    <n v="432.9"/>
    <x v="1"/>
  </r>
  <r>
    <x v="23"/>
    <x v="112"/>
    <x v="1"/>
    <n v="6775"/>
    <n v="70"/>
    <n v="474250"/>
    <n v="559615"/>
    <n v="85365"/>
    <x v="1"/>
  </r>
  <r>
    <x v="24"/>
    <x v="113"/>
    <x v="1"/>
    <n v="11280"/>
    <n v="46"/>
    <n v="518880"/>
    <n v="612278.4"/>
    <n v="93398.399999999994"/>
    <x v="1"/>
  </r>
  <r>
    <x v="25"/>
    <x v="114"/>
    <x v="1"/>
    <n v="150"/>
    <n v="147.01"/>
    <n v="22051"/>
    <n v="26020.18"/>
    <n v="3969.18"/>
    <x v="1"/>
  </r>
  <r>
    <x v="28"/>
    <x v="103"/>
    <x v="1"/>
    <n v="780"/>
    <n v="91.1"/>
    <n v="71059.320000000007"/>
    <n v="83849.997600000002"/>
    <n v="12790.677600000001"/>
    <x v="1"/>
  </r>
  <r>
    <x v="30"/>
    <x v="102"/>
    <x v="1"/>
    <n v="917"/>
    <n v="91.95"/>
    <n v="84322.03"/>
    <n v="99499.9954"/>
    <n v="15177.965399999999"/>
    <x v="1"/>
  </r>
  <r>
    <x v="30"/>
    <x v="100"/>
    <x v="1"/>
    <n v="420"/>
    <n v="104"/>
    <n v="43680"/>
    <n v="51542.400000000001"/>
    <n v="7862.4"/>
    <x v="1"/>
  </r>
  <r>
    <x v="30"/>
    <x v="100"/>
    <x v="1"/>
    <n v="840"/>
    <n v="83"/>
    <n v="69720"/>
    <n v="82269.600000000006"/>
    <n v="12549.6"/>
    <x v="1"/>
  </r>
  <r>
    <x v="31"/>
    <x v="109"/>
    <x v="1"/>
    <n v="180"/>
    <n v="78"/>
    <n v="14040"/>
    <n v="16567.2"/>
    <n v="2527.1999999999998"/>
    <x v="1"/>
  </r>
  <r>
    <x v="31"/>
    <x v="95"/>
    <x v="1"/>
    <n v="120"/>
    <n v="7.43"/>
    <n v="891"/>
    <n v="1051.3800000000001"/>
    <n v="160.38"/>
    <x v="1"/>
  </r>
  <r>
    <x v="31"/>
    <x v="102"/>
    <x v="1"/>
    <n v="917"/>
    <n v="91.95"/>
    <n v="84322.03"/>
    <n v="99499.9954"/>
    <n v="15177.965399999999"/>
    <x v="1"/>
  </r>
  <r>
    <x v="31"/>
    <x v="115"/>
    <x v="1"/>
    <n v="2"/>
    <n v="3660"/>
    <n v="7320"/>
    <n v="8637.6"/>
    <n v="1317.6"/>
    <x v="1"/>
  </r>
  <r>
    <x v="32"/>
    <x v="102"/>
    <x v="1"/>
    <n v="917"/>
    <n v="91.95"/>
    <n v="84322.03"/>
    <n v="99499.9954"/>
    <n v="15177.965399999999"/>
    <x v="1"/>
  </r>
  <r>
    <x v="33"/>
    <x v="116"/>
    <x v="1"/>
    <n v="27040"/>
    <n v="75.75"/>
    <n v="2048280"/>
    <n v="2416970.4"/>
    <n v="368690.39999999997"/>
    <x v="1"/>
  </r>
  <r>
    <x v="33"/>
    <x v="117"/>
    <x v="1"/>
    <n v="1000"/>
    <n v="66"/>
    <n v="66000"/>
    <n v="77880"/>
    <n v="11880"/>
    <x v="1"/>
  </r>
  <r>
    <x v="34"/>
    <x v="97"/>
    <x v="1"/>
    <n v="26"/>
    <n v="109"/>
    <n v="2834"/>
    <n v="3344.12"/>
    <n v="510.12"/>
    <x v="1"/>
  </r>
  <r>
    <x v="37"/>
    <x v="110"/>
    <x v="1"/>
    <n v="390"/>
    <n v="220"/>
    <n v="85800"/>
    <n v="101244"/>
    <n v="15444"/>
    <x v="1"/>
  </r>
  <r>
    <x v="79"/>
    <x v="97"/>
    <x v="1"/>
    <n v="40"/>
    <n v="146.22999999999999"/>
    <n v="5849.24"/>
    <n v="6902.1031999999996"/>
    <n v="1052.8632"/>
    <x v="1"/>
  </r>
  <r>
    <x v="39"/>
    <x v="118"/>
    <x v="1"/>
    <n v="360"/>
    <n v="79.75"/>
    <n v="28710"/>
    <n v="33877.800000000003"/>
    <n v="5167.8"/>
    <x v="1"/>
  </r>
  <r>
    <x v="39"/>
    <x v="98"/>
    <x v="1"/>
    <n v="195"/>
    <n v="223"/>
    <n v="43485"/>
    <n v="51312.3"/>
    <n v="7827.2999999999993"/>
    <x v="1"/>
  </r>
  <r>
    <x v="41"/>
    <x v="101"/>
    <x v="1"/>
    <n v="600"/>
    <n v="34"/>
    <n v="20400"/>
    <n v="24072"/>
    <n v="3672"/>
    <x v="1"/>
  </r>
  <r>
    <x v="42"/>
    <x v="100"/>
    <x v="1"/>
    <n v="1050"/>
    <n v="83"/>
    <n v="87150"/>
    <n v="102837"/>
    <n v="15687"/>
    <x v="1"/>
  </r>
  <r>
    <x v="44"/>
    <x v="102"/>
    <x v="1"/>
    <n v="917"/>
    <n v="91.95"/>
    <n v="84322.03"/>
    <n v="99499.9954"/>
    <n v="15177.965399999999"/>
    <x v="1"/>
  </r>
  <r>
    <x v="80"/>
    <x v="102"/>
    <x v="1"/>
    <n v="917"/>
    <n v="91.95"/>
    <n v="84322.03"/>
    <n v="99499.9954"/>
    <n v="15177.965399999999"/>
    <x v="1"/>
  </r>
  <r>
    <x v="45"/>
    <x v="109"/>
    <x v="1"/>
    <n v="480"/>
    <n v="118.75"/>
    <n v="57000"/>
    <n v="67260"/>
    <n v="10260"/>
    <x v="1"/>
  </r>
  <r>
    <x v="45"/>
    <x v="101"/>
    <x v="1"/>
    <n v="500"/>
    <n v="34"/>
    <n v="17000"/>
    <n v="20060"/>
    <n v="3060"/>
    <x v="1"/>
  </r>
  <r>
    <x v="46"/>
    <x v="119"/>
    <x v="1"/>
    <n v="250"/>
    <n v="122"/>
    <n v="30500"/>
    <n v="35990"/>
    <n v="5490"/>
    <x v="1"/>
  </r>
  <r>
    <x v="48"/>
    <x v="100"/>
    <x v="1"/>
    <n v="420"/>
    <n v="104"/>
    <n v="43680"/>
    <n v="51542.400000000001"/>
    <n v="7862.4"/>
    <x v="1"/>
  </r>
  <r>
    <x v="49"/>
    <x v="95"/>
    <x v="1"/>
    <n v="1440"/>
    <n v="3.48"/>
    <n v="5010.37"/>
    <n v="5912.2366000000002"/>
    <n v="901.86659999999995"/>
    <x v="1"/>
  </r>
  <r>
    <x v="49"/>
    <x v="98"/>
    <x v="1"/>
    <n v="195"/>
    <n v="223"/>
    <n v="43485"/>
    <n v="51312.3"/>
    <n v="7827.2999999999993"/>
    <x v="1"/>
  </r>
  <r>
    <x v="50"/>
    <x v="111"/>
    <x v="1"/>
    <n v="60"/>
    <n v="145"/>
    <n v="8700"/>
    <n v="10266"/>
    <n v="1566"/>
    <x v="1"/>
  </r>
  <r>
    <x v="81"/>
    <x v="120"/>
    <x v="1"/>
    <n v="11340"/>
    <n v="75"/>
    <n v="850542.83"/>
    <n v="1003640.5393999999"/>
    <n v="153097.70939999999"/>
    <x v="1"/>
  </r>
  <r>
    <x v="51"/>
    <x v="110"/>
    <x v="1"/>
    <n v="120"/>
    <n v="269"/>
    <n v="32280"/>
    <n v="38090.400000000001"/>
    <n v="5810.4"/>
    <x v="1"/>
  </r>
  <r>
    <x v="52"/>
    <x v="112"/>
    <x v="1"/>
    <n v="6250"/>
    <n v="71"/>
    <n v="443750"/>
    <n v="523625"/>
    <n v="79875"/>
    <x v="1"/>
  </r>
  <r>
    <x v="55"/>
    <x v="116"/>
    <x v="1"/>
    <n v="21680"/>
    <n v="76.5"/>
    <n v="1658520"/>
    <n v="1957053.6"/>
    <n v="298533.59999999998"/>
    <x v="1"/>
  </r>
  <r>
    <x v="57"/>
    <x v="112"/>
    <x v="1"/>
    <n v="2410"/>
    <n v="71"/>
    <n v="171110"/>
    <n v="201909.8"/>
    <n v="30799.8"/>
    <x v="1"/>
  </r>
  <r>
    <x v="58"/>
    <x v="110"/>
    <x v="1"/>
    <n v="100"/>
    <n v="269"/>
    <n v="26900"/>
    <n v="31742"/>
    <n v="4842"/>
    <x v="1"/>
  </r>
  <r>
    <x v="58"/>
    <x v="110"/>
    <x v="1"/>
    <n v="585"/>
    <n v="220"/>
    <n v="128700"/>
    <n v="151866"/>
    <n v="23166"/>
    <x v="1"/>
  </r>
  <r>
    <x v="58"/>
    <x v="117"/>
    <x v="1"/>
    <n v="2000"/>
    <n v="66"/>
    <n v="132000"/>
    <n v="155760"/>
    <n v="23760"/>
    <x v="1"/>
  </r>
  <r>
    <x v="60"/>
    <x v="112"/>
    <x v="1"/>
    <n v="2405"/>
    <n v="71"/>
    <n v="170755"/>
    <n v="201490.9"/>
    <n v="30735.899999999998"/>
    <x v="1"/>
  </r>
  <r>
    <x v="60"/>
    <x v="96"/>
    <x v="1"/>
    <n v="500"/>
    <n v="270"/>
    <n v="135000"/>
    <n v="159300"/>
    <n v="24300"/>
    <x v="1"/>
  </r>
  <r>
    <x v="60"/>
    <x v="102"/>
    <x v="1"/>
    <n v="100"/>
    <n v="110"/>
    <n v="11000"/>
    <n v="12980"/>
    <n v="1980"/>
    <x v="1"/>
  </r>
  <r>
    <x v="61"/>
    <x v="117"/>
    <x v="1"/>
    <n v="400"/>
    <n v="66"/>
    <n v="26400"/>
    <n v="31152"/>
    <n v="4752"/>
    <x v="1"/>
  </r>
  <r>
    <x v="61"/>
    <x v="101"/>
    <x v="1"/>
    <n v="600"/>
    <n v="34"/>
    <n v="20400"/>
    <n v="24072"/>
    <n v="3672"/>
    <x v="1"/>
  </r>
  <r>
    <x v="61"/>
    <x v="102"/>
    <x v="1"/>
    <n v="52"/>
    <n v="100"/>
    <n v="5200"/>
    <n v="6136"/>
    <n v="936"/>
    <x v="1"/>
  </r>
  <r>
    <x v="62"/>
    <x v="110"/>
    <x v="1"/>
    <n v="100"/>
    <n v="269"/>
    <n v="26900"/>
    <n v="31742"/>
    <n v="4842"/>
    <x v="1"/>
  </r>
  <r>
    <x v="82"/>
    <x v="99"/>
    <x v="1"/>
    <n v="12"/>
    <n v="261.02"/>
    <n v="3132.24"/>
    <n v="3696.0431999999996"/>
    <n v="563.80319999999995"/>
    <x v="1"/>
  </r>
  <r>
    <x v="63"/>
    <x v="104"/>
    <x v="1"/>
    <n v="309"/>
    <n v="189.7"/>
    <n v="58617.3"/>
    <n v="69168.414000000004"/>
    <n v="10551.114"/>
    <x v="1"/>
  </r>
  <r>
    <x v="63"/>
    <x v="100"/>
    <x v="1"/>
    <n v="840"/>
    <n v="83"/>
    <n v="69720"/>
    <n v="82269.600000000006"/>
    <n v="12549.6"/>
    <x v="1"/>
  </r>
  <r>
    <x v="64"/>
    <x v="112"/>
    <x v="1"/>
    <n v="2315"/>
    <n v="71"/>
    <n v="164365"/>
    <n v="193950.7"/>
    <n v="29585.699999999997"/>
    <x v="1"/>
  </r>
  <r>
    <x v="66"/>
    <x v="106"/>
    <x v="1"/>
    <n v="1000"/>
    <n v="158"/>
    <n v="158000"/>
    <n v="186440"/>
    <n v="28440"/>
    <x v="1"/>
  </r>
  <r>
    <x v="66"/>
    <x v="112"/>
    <x v="1"/>
    <n v="2325"/>
    <n v="71"/>
    <n v="165075"/>
    <n v="194788.5"/>
    <n v="29713.5"/>
    <x v="1"/>
  </r>
  <r>
    <x v="67"/>
    <x v="121"/>
    <x v="1"/>
    <n v="11"/>
    <n v="247.09"/>
    <n v="2718"/>
    <n v="3207.24"/>
    <n v="489.24"/>
    <x v="1"/>
  </r>
  <r>
    <x v="68"/>
    <x v="110"/>
    <x v="1"/>
    <n v="100"/>
    <n v="269"/>
    <n v="26900"/>
    <n v="31742"/>
    <n v="4842"/>
    <x v="1"/>
  </r>
  <r>
    <x v="68"/>
    <x v="112"/>
    <x v="1"/>
    <n v="2483"/>
    <n v="71"/>
    <n v="176293"/>
    <n v="208025.74"/>
    <n v="31732.739999999998"/>
    <x v="1"/>
  </r>
  <r>
    <x v="69"/>
    <x v="111"/>
    <x v="1"/>
    <n v="1050"/>
    <n v="58"/>
    <n v="60900"/>
    <n v="71862"/>
    <n v="10962"/>
    <x v="1"/>
  </r>
  <r>
    <x v="72"/>
    <x v="104"/>
    <x v="1"/>
    <n v="307"/>
    <n v="189.7"/>
    <n v="58237.9"/>
    <n v="68720.722000000009"/>
    <n v="10482.822"/>
    <x v="1"/>
  </r>
  <r>
    <x v="74"/>
    <x v="121"/>
    <x v="1"/>
    <n v="420"/>
    <n v="63"/>
    <n v="26460"/>
    <n v="31222.799999999999"/>
    <n v="4762.8"/>
    <x v="1"/>
  </r>
  <r>
    <x v="83"/>
    <x v="109"/>
    <x v="1"/>
    <n v="420"/>
    <n v="63"/>
    <n v="26460"/>
    <n v="31222.799999999999"/>
    <n v="4762.8"/>
    <x v="1"/>
  </r>
  <r>
    <x v="75"/>
    <x v="105"/>
    <x v="1"/>
    <n v="2"/>
    <n v="909.6"/>
    <n v="1819.2"/>
    <n v="2146.6559999999999"/>
    <n v="327.45600000000002"/>
    <x v="1"/>
  </r>
  <r>
    <x v="75"/>
    <x v="120"/>
    <x v="1"/>
    <n v="9450"/>
    <n v="75"/>
    <n v="708785.44"/>
    <n v="836366.81919999991"/>
    <n v="127581.37919999998"/>
    <x v="1"/>
  </r>
  <r>
    <x v="77"/>
    <x v="121"/>
    <x v="1"/>
    <n v="4"/>
    <n v="206.95"/>
    <n v="827.8"/>
    <n v="976.80399999999997"/>
    <n v="149.00399999999999"/>
    <x v="1"/>
  </r>
  <r>
    <x v="78"/>
    <x v="114"/>
    <x v="1"/>
    <n v="30"/>
    <n v="280"/>
    <n v="8400"/>
    <n v="9912"/>
    <n v="1512"/>
    <x v="1"/>
  </r>
  <r>
    <x v="78"/>
    <x v="122"/>
    <x v="1"/>
    <n v="10780"/>
    <n v="47.75"/>
    <n v="514745"/>
    <n v="607399.1"/>
    <n v="92654.09999999999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26:B37" firstHeaderRow="1" firstDataRow="1" firstDataCol="1" rowPageCount="1" colPageCount="1"/>
  <pivotFields count="1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measureFilter="1" sortType="descending">
      <items count="124">
        <item x="61"/>
        <item x="8"/>
        <item x="39"/>
        <item x="72"/>
        <item x="118"/>
        <item x="35"/>
        <item x="111"/>
        <item x="96"/>
        <item x="50"/>
        <item x="109"/>
        <item x="43"/>
        <item x="25"/>
        <item x="6"/>
        <item x="113"/>
        <item x="84"/>
        <item x="26"/>
        <item x="27"/>
        <item x="90"/>
        <item x="3"/>
        <item x="66"/>
        <item x="116"/>
        <item x="104"/>
        <item x="65"/>
        <item x="98"/>
        <item x="86"/>
        <item x="85"/>
        <item x="18"/>
        <item x="10"/>
        <item x="52"/>
        <item x="41"/>
        <item x="107"/>
        <item x="24"/>
        <item x="55"/>
        <item x="87"/>
        <item x="68"/>
        <item x="101"/>
        <item x="115"/>
        <item x="119"/>
        <item x="58"/>
        <item x="105"/>
        <item x="33"/>
        <item x="121"/>
        <item x="56"/>
        <item x="31"/>
        <item x="17"/>
        <item x="0"/>
        <item x="28"/>
        <item x="89"/>
        <item x="93"/>
        <item x="64"/>
        <item x="112"/>
        <item x="42"/>
        <item x="11"/>
        <item x="62"/>
        <item x="88"/>
        <item x="108"/>
        <item x="92"/>
        <item x="59"/>
        <item x="21"/>
        <item x="22"/>
        <item x="63"/>
        <item x="38"/>
        <item x="83"/>
        <item x="57"/>
        <item x="20"/>
        <item x="74"/>
        <item x="53"/>
        <item x="81"/>
        <item x="23"/>
        <item x="19"/>
        <item x="67"/>
        <item x="78"/>
        <item x="77"/>
        <item x="95"/>
        <item x="45"/>
        <item x="46"/>
        <item x="12"/>
        <item x="5"/>
        <item x="37"/>
        <item x="9"/>
        <item x="16"/>
        <item x="36"/>
        <item x="106"/>
        <item x="122"/>
        <item x="14"/>
        <item x="69"/>
        <item x="13"/>
        <item x="15"/>
        <item x="79"/>
        <item x="29"/>
        <item x="70"/>
        <item x="91"/>
        <item x="73"/>
        <item x="117"/>
        <item x="60"/>
        <item x="82"/>
        <item x="48"/>
        <item x="120"/>
        <item x="75"/>
        <item x="94"/>
        <item x="44"/>
        <item x="1"/>
        <item x="80"/>
        <item x="4"/>
        <item x="30"/>
        <item x="49"/>
        <item x="51"/>
        <item x="114"/>
        <item x="2"/>
        <item x="99"/>
        <item x="76"/>
        <item x="102"/>
        <item x="40"/>
        <item x="54"/>
        <item x="110"/>
        <item x="47"/>
        <item x="100"/>
        <item x="7"/>
        <item x="71"/>
        <item x="32"/>
        <item x="103"/>
        <item x="34"/>
        <item x="9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axis="axisPage" showAll="0">
      <items count="3">
        <item x="1"/>
        <item x="0"/>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1">
    <i>
      <x v="22"/>
    </i>
    <i>
      <x v="87"/>
    </i>
    <i>
      <x v="27"/>
    </i>
    <i>
      <x v="108"/>
    </i>
    <i>
      <x v="2"/>
    </i>
    <i>
      <x v="103"/>
    </i>
    <i>
      <x v="45"/>
    </i>
    <i>
      <x v="18"/>
    </i>
    <i>
      <x v="101"/>
    </i>
    <i>
      <x v="40"/>
    </i>
    <i t="grand">
      <x/>
    </i>
  </rowItems>
  <colItems count="1">
    <i/>
  </colItems>
  <pageFields count="1">
    <pageField fld="8" item="1" hier="-1"/>
  </pageFields>
  <dataFields count="1">
    <dataField name="Count of Gross Total" fld="6" subtotal="count" baseField="1" baseItem="2"/>
  </dataFields>
  <formats count="4">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D8" firstHeaderRow="1" firstDataRow="2" firstDataCol="1"/>
  <pivotFields count="1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axis="axisCol" showAll="0">
      <items count="3">
        <item x="1"/>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9"/>
    <field x="0"/>
  </rowFields>
  <rowItems count="4">
    <i>
      <x v="4"/>
    </i>
    <i>
      <x v="5"/>
    </i>
    <i>
      <x v="6"/>
    </i>
    <i t="grand">
      <x/>
    </i>
  </rowItems>
  <colFields count="1">
    <field x="8"/>
  </colFields>
  <colItems count="3">
    <i>
      <x/>
    </i>
    <i>
      <x v="1"/>
    </i>
    <i t="grand">
      <x/>
    </i>
  </colItems>
  <dataFields count="1">
    <dataField name="Sum of Gross Total" fld="6" baseField="9" baseItem="4" numFmtId="166"/>
  </dataFields>
  <formats count="4">
    <format dxfId="8">
      <pivotArea outline="0" collapsedLevelsAreSubtotals="1"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s>
  <chartFormats count="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5:D49" firstHeaderRow="1" firstDataRow="2" firstDataCol="1"/>
  <pivotFields count="1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3">
        <item x="1"/>
        <item x="0"/>
        <item t="default"/>
      </items>
    </pivotField>
    <pivotField showAll="0"/>
    <pivotField showAll="0"/>
    <pivotField showAll="0"/>
    <pivotField dataField="1" showAll="0"/>
    <pivotField showAll="0"/>
    <pivotField axis="axisCol" showAll="0">
      <items count="3">
        <item x="1"/>
        <item x="0"/>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3">
    <i>
      <x/>
    </i>
    <i>
      <x v="1"/>
    </i>
    <i t="grand">
      <x/>
    </i>
  </rowItems>
  <colFields count="1">
    <field x="8"/>
  </colFields>
  <colItems count="3">
    <i>
      <x/>
    </i>
    <i>
      <x v="1"/>
    </i>
    <i t="grand">
      <x/>
    </i>
  </colItems>
  <dataFields count="1">
    <dataField name="Sum of Gross Total" fld="6" baseField="2" baseItem="1"/>
  </dataFields>
  <formats count="4">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s>
  <chartFormats count="3">
    <chartFormat chart="4" format="2" series="1">
      <pivotArea type="data" outline="0" fieldPosition="0">
        <references count="1">
          <reference field="8" count="1" selected="0">
            <x v="0"/>
          </reference>
        </references>
      </pivotArea>
    </chartFormat>
    <chartFormat chart="4" format="3" series="1">
      <pivotArea type="data" outline="0" fieldPosition="0">
        <references count="1">
          <reference field="8" count="1" selected="0">
            <x v="1"/>
          </reference>
        </references>
      </pivotArea>
    </chartFormat>
    <chartFormat chart="4" format="4"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79:C202" firstHeaderRow="0" firstDataRow="1" firstDataCol="1" rowPageCount="1" colPageCount="1"/>
  <pivotFields count="1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124">
        <item h="1" x="61"/>
        <item x="8"/>
        <item x="39"/>
        <item x="72"/>
        <item x="118"/>
        <item x="35"/>
        <item x="111"/>
        <item x="96"/>
        <item x="50"/>
        <item x="109"/>
        <item x="43"/>
        <item x="25"/>
        <item x="6"/>
        <item x="113"/>
        <item x="84"/>
        <item x="26"/>
        <item x="27"/>
        <item x="90"/>
        <item x="3"/>
        <item x="66"/>
        <item x="116"/>
        <item x="104"/>
        <item x="65"/>
        <item x="98"/>
        <item x="86"/>
        <item x="85"/>
        <item x="18"/>
        <item x="10"/>
        <item x="52"/>
        <item x="41"/>
        <item x="107"/>
        <item x="24"/>
        <item x="55"/>
        <item x="87"/>
        <item x="68"/>
        <item x="101"/>
        <item x="115"/>
        <item x="119"/>
        <item x="58"/>
        <item x="105"/>
        <item x="33"/>
        <item x="121"/>
        <item x="56"/>
        <item x="31"/>
        <item x="17"/>
        <item x="0"/>
        <item x="28"/>
        <item x="89"/>
        <item x="93"/>
        <item x="64"/>
        <item x="112"/>
        <item x="42"/>
        <item x="11"/>
        <item x="62"/>
        <item x="88"/>
        <item x="108"/>
        <item x="92"/>
        <item x="59"/>
        <item x="21"/>
        <item x="22"/>
        <item x="63"/>
        <item x="38"/>
        <item x="83"/>
        <item x="57"/>
        <item x="20"/>
        <item x="74"/>
        <item x="53"/>
        <item x="81"/>
        <item x="23"/>
        <item x="19"/>
        <item x="67"/>
        <item x="78"/>
        <item x="77"/>
        <item x="95"/>
        <item x="45"/>
        <item x="46"/>
        <item x="12"/>
        <item x="5"/>
        <item x="37"/>
        <item x="9"/>
        <item x="16"/>
        <item x="36"/>
        <item x="106"/>
        <item x="122"/>
        <item x="14"/>
        <item x="69"/>
        <item x="13"/>
        <item x="15"/>
        <item x="79"/>
        <item x="29"/>
        <item x="70"/>
        <item x="91"/>
        <item x="73"/>
        <item x="117"/>
        <item x="60"/>
        <item x="82"/>
        <item x="48"/>
        <item x="120"/>
        <item x="75"/>
        <item x="94"/>
        <item x="44"/>
        <item x="1"/>
        <item x="80"/>
        <item x="4"/>
        <item x="30"/>
        <item x="49"/>
        <item x="51"/>
        <item x="114"/>
        <item x="2"/>
        <item x="99"/>
        <item x="76"/>
        <item x="102"/>
        <item x="40"/>
        <item x="54"/>
        <item x="110"/>
        <item x="47"/>
        <item x="100"/>
        <item x="7"/>
        <item x="71"/>
        <item x="32"/>
        <item x="103"/>
        <item x="34"/>
        <item x="97"/>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dataField="1" showAll="0"/>
    <pivotField showAll="0"/>
    <pivotField showAll="0"/>
    <pivotField dataField="1" showAll="0"/>
    <pivotField showAll="0"/>
    <pivotField axis="axisPage" showAll="0">
      <items count="3">
        <item x="1"/>
        <item x="0"/>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23">
    <i>
      <x v="20"/>
    </i>
    <i>
      <x v="50"/>
    </i>
    <i>
      <x v="22"/>
    </i>
    <i>
      <x v="97"/>
    </i>
    <i>
      <x v="55"/>
    </i>
    <i>
      <x v="13"/>
    </i>
    <i>
      <x v="83"/>
    </i>
    <i>
      <x v="87"/>
    </i>
    <i>
      <x v="27"/>
    </i>
    <i>
      <x v="108"/>
    </i>
    <i>
      <x v="2"/>
    </i>
    <i>
      <x v="116"/>
    </i>
    <i>
      <x v="111"/>
    </i>
    <i>
      <x v="45"/>
    </i>
    <i>
      <x v="103"/>
    </i>
    <i>
      <x v="40"/>
    </i>
    <i>
      <x v="101"/>
    </i>
    <i>
      <x v="84"/>
    </i>
    <i>
      <x v="93"/>
    </i>
    <i>
      <x v="58"/>
    </i>
    <i>
      <x v="76"/>
    </i>
    <i>
      <x v="18"/>
    </i>
    <i>
      <x v="35"/>
    </i>
    <i>
      <x v="104"/>
    </i>
    <i>
      <x v="82"/>
    </i>
    <i>
      <x v="64"/>
    </i>
    <i>
      <x v="73"/>
    </i>
    <i>
      <x v="56"/>
    </i>
    <i>
      <x v="120"/>
    </i>
    <i>
      <x v="114"/>
    </i>
    <i>
      <x v="9"/>
    </i>
    <i>
      <x v="6"/>
    </i>
    <i>
      <x v="117"/>
    </i>
    <i>
      <x v="31"/>
    </i>
    <i>
      <x v="21"/>
    </i>
    <i>
      <x v="23"/>
    </i>
    <i>
      <x v="7"/>
    </i>
    <i>
      <x v="96"/>
    </i>
    <i>
      <x v="16"/>
    </i>
    <i>
      <x v="121"/>
    </i>
    <i>
      <x v="60"/>
    </i>
    <i>
      <x v="100"/>
    </i>
    <i>
      <x v="28"/>
    </i>
    <i>
      <x v="68"/>
    </i>
    <i>
      <x v="86"/>
    </i>
    <i>
      <x v="106"/>
    </i>
    <i>
      <x v="43"/>
    </i>
    <i>
      <x v="51"/>
    </i>
    <i>
      <x v="74"/>
    </i>
    <i>
      <x v="44"/>
    </i>
    <i>
      <x v="41"/>
    </i>
    <i>
      <x v="70"/>
    </i>
    <i>
      <x v="95"/>
    </i>
    <i>
      <x v="8"/>
    </i>
    <i>
      <x v="4"/>
    </i>
    <i>
      <x v="80"/>
    </i>
    <i>
      <x v="37"/>
    </i>
    <i>
      <x v="15"/>
    </i>
    <i>
      <x v="89"/>
    </i>
    <i>
      <x v="53"/>
    </i>
    <i>
      <x v="72"/>
    </i>
    <i>
      <x v="119"/>
    </i>
    <i>
      <x v="105"/>
    </i>
    <i>
      <x v="75"/>
    </i>
    <i>
      <x v="30"/>
    </i>
    <i>
      <x v="10"/>
    </i>
    <i>
      <x v="59"/>
    </i>
    <i>
      <x v="107"/>
    </i>
    <i>
      <x v="113"/>
    </i>
    <i>
      <x v="34"/>
    </i>
    <i>
      <x v="52"/>
    </i>
    <i>
      <x v="77"/>
    </i>
    <i>
      <x v="49"/>
    </i>
    <i>
      <x v="11"/>
    </i>
    <i>
      <x v="81"/>
    </i>
    <i>
      <x v="19"/>
    </i>
    <i>
      <x v="24"/>
    </i>
    <i>
      <x v="38"/>
    </i>
    <i>
      <x v="122"/>
    </i>
    <i>
      <x v="71"/>
    </i>
    <i>
      <x v="26"/>
    </i>
    <i>
      <x v="12"/>
    </i>
    <i>
      <x v="3"/>
    </i>
    <i>
      <x v="47"/>
    </i>
    <i>
      <x v="5"/>
    </i>
    <i>
      <x v="110"/>
    </i>
    <i>
      <x v="32"/>
    </i>
    <i>
      <x v="90"/>
    </i>
    <i>
      <x v="85"/>
    </i>
    <i>
      <x v="78"/>
    </i>
    <i>
      <x v="94"/>
    </i>
    <i>
      <x v="25"/>
    </i>
    <i>
      <x v="92"/>
    </i>
    <i>
      <x v="91"/>
    </i>
    <i>
      <x v="54"/>
    </i>
    <i>
      <x v="17"/>
    </i>
    <i>
      <x v="112"/>
    </i>
    <i>
      <x v="48"/>
    </i>
    <i>
      <x v="88"/>
    </i>
    <i>
      <x v="102"/>
    </i>
    <i>
      <x v="57"/>
    </i>
    <i>
      <x v="118"/>
    </i>
    <i>
      <x v="63"/>
    </i>
    <i>
      <x v="79"/>
    </i>
    <i>
      <x v="109"/>
    </i>
    <i>
      <x v="33"/>
    </i>
    <i>
      <x v="69"/>
    </i>
    <i>
      <x v="115"/>
    </i>
    <i>
      <x v="67"/>
    </i>
    <i>
      <x v="42"/>
    </i>
    <i>
      <x v="66"/>
    </i>
    <i>
      <x v="46"/>
    </i>
    <i>
      <x v="29"/>
    </i>
    <i>
      <x v="62"/>
    </i>
    <i>
      <x v="1"/>
    </i>
    <i>
      <x v="39"/>
    </i>
    <i>
      <x v="99"/>
    </i>
    <i>
      <x v="61"/>
    </i>
    <i>
      <x v="65"/>
    </i>
    <i>
      <x v="36"/>
    </i>
    <i>
      <x v="14"/>
    </i>
    <i>
      <x v="98"/>
    </i>
    <i t="grand">
      <x/>
    </i>
  </rowItems>
  <colFields count="1">
    <field x="-2"/>
  </colFields>
  <colItems count="2">
    <i>
      <x/>
    </i>
    <i i="1">
      <x v="1"/>
    </i>
  </colItems>
  <pageFields count="1">
    <pageField fld="8" hier="-1"/>
  </pageFields>
  <dataFields count="2">
    <dataField name="Sum of Quantity" fld="3" baseField="1" baseItem="0" numFmtId="3"/>
    <dataField name="Sum of Gross Total" fld="6" baseField="1" baseItem="0"/>
  </dataFields>
  <formats count="5">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64:D69" firstHeaderRow="1" firstDataRow="2" firstDataCol="1"/>
  <pivotFields count="1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3">
        <item x="1"/>
        <item x="0"/>
        <item t="default"/>
      </items>
    </pivotField>
    <pivotField showAll="0"/>
    <pivotField showAll="0"/>
    <pivotField showAll="0"/>
    <pivotField showAll="0"/>
    <pivotField dataField="1" showAll="0"/>
    <pivotField axis="axisCol" showAll="0">
      <items count="3">
        <item x="1"/>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9"/>
    <field x="0"/>
  </rowFields>
  <rowItems count="4">
    <i>
      <x v="4"/>
    </i>
    <i>
      <x v="5"/>
    </i>
    <i>
      <x v="6"/>
    </i>
    <i t="grand">
      <x/>
    </i>
  </rowItems>
  <colFields count="1">
    <field x="8"/>
  </colFields>
  <colItems count="3">
    <i>
      <x/>
    </i>
    <i>
      <x v="1"/>
    </i>
    <i t="grand">
      <x/>
    </i>
  </colItems>
  <dataFields count="1">
    <dataField name="Sum of gst" fld="7" baseField="9" baseItem="4"/>
  </dataFields>
  <formats count="4">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s>
  <chartFormats count="2">
    <chartFormat chart="5" format="0" series="1">
      <pivotArea type="data" outline="0" fieldPosition="0">
        <references count="2">
          <reference field="4294967294" count="1" selected="0">
            <x v="0"/>
          </reference>
          <reference field="8" count="1" selected="0">
            <x v="0"/>
          </reference>
        </references>
      </pivotArea>
    </chartFormat>
    <chartFormat chart="5" format="1"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0">
    <queryTableFields count="9">
      <queryTableField id="1" name="Date" tableColumnId="19"/>
      <queryTableField id="2" name="customer" tableColumnId="20"/>
      <queryTableField id="3" name="Voucher Type" tableColumnId="21"/>
      <queryTableField id="4" name="Quantity" tableColumnId="22"/>
      <queryTableField id="5" name="Rate" tableColumnId="23"/>
      <queryTableField id="6" name="Value" tableColumnId="24"/>
      <queryTableField id="7" name="Gross Total" tableColumnId="25"/>
      <queryTableField id="8" name="gst" tableColumnId="26"/>
      <queryTableField id="9" name="transaction type"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ransaction_type" sourceName="transaction type">
  <pivotTables>
    <pivotTable tabId="6" name="PivotTable5"/>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 sourceName="customer">
  <pivotTables>
    <pivotTable tabId="6" name="PivotTable5"/>
  </pivotTables>
  <data>
    <tabular pivotCacheId="1">
      <items count="123">
        <i x="61"/>
        <i x="8" s="1"/>
        <i x="39" s="1"/>
        <i x="72" s="1"/>
        <i x="118" s="1"/>
        <i x="35" s="1"/>
        <i x="111" s="1"/>
        <i x="96" s="1"/>
        <i x="50" s="1"/>
        <i x="109" s="1"/>
        <i x="43" s="1"/>
        <i x="25" s="1"/>
        <i x="6" s="1"/>
        <i x="113" s="1"/>
        <i x="84" s="1"/>
        <i x="26" s="1"/>
        <i x="27" s="1"/>
        <i x="90" s="1"/>
        <i x="3" s="1"/>
        <i x="66" s="1"/>
        <i x="116" s="1"/>
        <i x="104" s="1"/>
        <i x="65" s="1"/>
        <i x="98" s="1"/>
        <i x="86" s="1"/>
        <i x="85" s="1"/>
        <i x="18" s="1"/>
        <i x="10" s="1"/>
        <i x="52" s="1"/>
        <i x="41" s="1"/>
        <i x="107" s="1"/>
        <i x="24" s="1"/>
        <i x="55" s="1"/>
        <i x="87" s="1"/>
        <i x="68" s="1"/>
        <i x="101" s="1"/>
        <i x="115" s="1"/>
        <i x="119" s="1"/>
        <i x="58" s="1"/>
        <i x="105" s="1"/>
        <i x="33" s="1"/>
        <i x="121" s="1"/>
        <i x="56" s="1"/>
        <i x="31" s="1"/>
        <i x="17" s="1"/>
        <i x="0" s="1"/>
        <i x="28" s="1"/>
        <i x="89" s="1"/>
        <i x="93" s="1"/>
        <i x="64" s="1"/>
        <i x="112" s="1"/>
        <i x="42" s="1"/>
        <i x="11" s="1"/>
        <i x="62" s="1"/>
        <i x="88" s="1"/>
        <i x="108" s="1"/>
        <i x="92" s="1"/>
        <i x="59" s="1"/>
        <i x="21" s="1"/>
        <i x="22" s="1"/>
        <i x="63" s="1"/>
        <i x="38" s="1"/>
        <i x="83" s="1"/>
        <i x="57" s="1"/>
        <i x="20" s="1"/>
        <i x="74" s="1"/>
        <i x="53" s="1"/>
        <i x="81" s="1"/>
        <i x="23" s="1"/>
        <i x="19" s="1"/>
        <i x="67" s="1"/>
        <i x="78" s="1"/>
        <i x="77" s="1"/>
        <i x="95" s="1"/>
        <i x="45" s="1"/>
        <i x="46" s="1"/>
        <i x="12" s="1"/>
        <i x="5" s="1"/>
        <i x="37" s="1"/>
        <i x="9" s="1"/>
        <i x="16" s="1"/>
        <i x="36" s="1"/>
        <i x="106" s="1"/>
        <i x="122" s="1"/>
        <i x="14" s="1"/>
        <i x="69" s="1"/>
        <i x="13" s="1"/>
        <i x="15" s="1"/>
        <i x="79" s="1"/>
        <i x="29" s="1"/>
        <i x="70" s="1"/>
        <i x="91" s="1"/>
        <i x="73" s="1"/>
        <i x="117" s="1"/>
        <i x="60" s="1"/>
        <i x="82" s="1"/>
        <i x="48" s="1"/>
        <i x="120" s="1"/>
        <i x="75" s="1"/>
        <i x="94" s="1"/>
        <i x="44" s="1"/>
        <i x="1" s="1"/>
        <i x="80" s="1"/>
        <i x="4" s="1"/>
        <i x="30" s="1"/>
        <i x="49" s="1"/>
        <i x="51" s="1"/>
        <i x="114" s="1"/>
        <i x="2" s="1"/>
        <i x="99" s="1"/>
        <i x="76" s="1"/>
        <i x="102" s="1"/>
        <i x="40" s="1"/>
        <i x="54" s="1"/>
        <i x="110" s="1"/>
        <i x="47" s="1"/>
        <i x="100" s="1"/>
        <i x="7" s="1"/>
        <i x="71" s="1"/>
        <i x="32" s="1"/>
        <i x="103" s="1"/>
        <i x="34" s="1"/>
        <i x="9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6" name="PivotTable5"/>
  </pivotTables>
  <data>
    <tabular pivotCacheId="1">
      <items count="14">
        <i x="4" s="1"/>
        <i x="5" s="1"/>
        <i x="6" s="1"/>
        <i x="1" s="1" nd="1"/>
        <i x="2" s="1" nd="1"/>
        <i x="3"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ransaction type" cache="Slicer_transaction_type" caption="transaction type" rowHeight="241300"/>
  <slicer name="customer" cache="Slicer_customer" caption="customer" rowHeight="241300"/>
  <slicer name="Months" cache="Slicer_Months" caption="Months"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SALESTABLE" displayName="SALESTABLE" ref="A1:H632" totalsRowShown="0" headerRowDxfId="45" dataDxfId="43" headerRowBorderDxfId="44" tableBorderDxfId="42">
  <autoFilter ref="A1:H632">
    <filterColumn colId="1">
      <filters>
        <filter val="GaurishankarCastTechPvtLtd"/>
      </filters>
    </filterColumn>
  </autoFilter>
  <tableColumns count="8">
    <tableColumn id="1" name="Date" dataDxfId="41"/>
    <tableColumn id="2" name="customer" dataDxfId="40"/>
    <tableColumn id="3" name="Voucher Type" dataDxfId="39"/>
    <tableColumn id="4" name="Quantity" dataDxfId="38"/>
    <tableColumn id="6" name="Rate" dataDxfId="37"/>
    <tableColumn id="7" name="Value" dataDxfId="36"/>
    <tableColumn id="8" name="Gross Total" dataDxfId="35"/>
    <tableColumn id="5" name="gst" dataDxfId="34">
      <calculatedColumnFormula>SALESTABLE[[#This Row],[Gross Total]]-SALESTABLE[[#This Row],[Gross Total]]</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1" name="PURCHASETABLE" displayName="PURCHASETABLE" ref="A1:H86" totalsRowShown="0" headerRowDxfId="33" dataDxfId="31" headerRowBorderDxfId="32" tableBorderDxfId="30">
  <autoFilter ref="A1:H86"/>
  <sortState ref="A2:H86">
    <sortCondition ref="A1:A86"/>
  </sortState>
  <tableColumns count="8">
    <tableColumn id="1" name="Date" dataDxfId="29"/>
    <tableColumn id="2" name="customer" dataDxfId="28"/>
    <tableColumn id="3" name="Voucher Type" dataDxfId="27"/>
    <tableColumn id="4" name="Quantity" dataDxfId="26"/>
    <tableColumn id="6" name="Rate" dataDxfId="25"/>
    <tableColumn id="7" name="Value" dataDxfId="24"/>
    <tableColumn id="8" name="Gross Total" dataDxfId="23">
      <calculatedColumnFormula>PURCHASETABLE[[#This Row],[Value]]+PURCHASETABLE[[#This Row],[gst]]</calculatedColumnFormula>
    </tableColumn>
    <tableColumn id="5" name="gst" dataDxfId="22">
      <calculatedColumnFormula>PURCHASETABLE[[#This Row],[Value]]*18%</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4" name="Append1" displayName="Append1" ref="A1:I717" tableType="queryTable" totalsRowShown="0">
  <autoFilter ref="A1:I717"/>
  <tableColumns count="9">
    <tableColumn id="19" uniqueName="19" name="Date" queryTableFieldId="1" dataDxfId="0"/>
    <tableColumn id="20" uniqueName="20" name="customer" queryTableFieldId="2"/>
    <tableColumn id="21" uniqueName="21" name="Voucher Type" queryTableFieldId="3"/>
    <tableColumn id="22" uniqueName="22" name="Quantity" queryTableFieldId="4"/>
    <tableColumn id="23" uniqueName="23" name="Rate" queryTableFieldId="5"/>
    <tableColumn id="24" uniqueName="24" name="Value" queryTableFieldId="6"/>
    <tableColumn id="25" uniqueName="25" name="Gross Total" queryTableFieldId="7"/>
    <tableColumn id="26" uniqueName="26" name="gst" queryTableFieldId="8"/>
    <tableColumn id="27" uniqueName="27" name="transaction type"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32"/>
  <sheetViews>
    <sheetView topLeftCell="A549" zoomScale="115" zoomScaleNormal="115" workbookViewId="0">
      <selection activeCell="F239" sqref="F239:F632"/>
    </sheetView>
  </sheetViews>
  <sheetFormatPr defaultRowHeight="15" x14ac:dyDescent="0.25"/>
  <cols>
    <col min="2" max="2" width="35.7109375" bestFit="1" customWidth="1"/>
    <col min="3" max="3" width="13.7109375" customWidth="1"/>
    <col min="4" max="4" width="11.7109375" style="19" bestFit="1" customWidth="1"/>
    <col min="5" max="5" width="10.85546875" style="19" bestFit="1" customWidth="1"/>
    <col min="7" max="7" width="12.140625" customWidth="1"/>
    <col min="10" max="10" width="35" bestFit="1" customWidth="1"/>
    <col min="11" max="11" width="25.28515625" bestFit="1" customWidth="1"/>
  </cols>
  <sheetData>
    <row r="1" spans="1:11" x14ac:dyDescent="0.25">
      <c r="A1" s="10" t="s">
        <v>0</v>
      </c>
      <c r="B1" t="s">
        <v>40</v>
      </c>
      <c r="C1" s="11" t="s">
        <v>1</v>
      </c>
      <c r="D1" s="16" t="s">
        <v>2</v>
      </c>
      <c r="E1" s="20" t="s">
        <v>3</v>
      </c>
      <c r="F1" s="11" t="s">
        <v>4</v>
      </c>
      <c r="G1" s="11" t="s">
        <v>5</v>
      </c>
      <c r="H1" s="10" t="s">
        <v>41</v>
      </c>
      <c r="I1" s="24"/>
    </row>
    <row r="2" spans="1:11" hidden="1" x14ac:dyDescent="0.25">
      <c r="A2" s="8">
        <v>45748</v>
      </c>
      <c r="B2" s="1" t="s">
        <v>97</v>
      </c>
      <c r="C2" s="2" t="s">
        <v>8</v>
      </c>
      <c r="D2" s="17">
        <v>30</v>
      </c>
      <c r="E2" s="21">
        <v>200</v>
      </c>
      <c r="F2" s="3">
        <v>6000</v>
      </c>
      <c r="G2" s="3">
        <f>SALESTABLE[[#This Row],[Value]]+SALESTABLE[[#This Row],[gst]]</f>
        <v>7080</v>
      </c>
      <c r="H2" s="23">
        <f>SALESTABLE[[#This Row],[Value]]*18%</f>
        <v>1080</v>
      </c>
      <c r="I2" s="23"/>
      <c r="J2" s="15"/>
    </row>
    <row r="3" spans="1:11" hidden="1" x14ac:dyDescent="0.25">
      <c r="A3" s="9">
        <v>45748</v>
      </c>
      <c r="B3" s="4" t="s">
        <v>42</v>
      </c>
      <c r="C3" s="5" t="s">
        <v>8</v>
      </c>
      <c r="D3" s="18">
        <v>245</v>
      </c>
      <c r="E3" s="22">
        <v>90.71</v>
      </c>
      <c r="F3" s="6">
        <v>22225</v>
      </c>
      <c r="G3" s="3">
        <f>SALESTABLE[[#This Row],[Value]]+SALESTABLE[[#This Row],[gst]]</f>
        <v>26225.5</v>
      </c>
      <c r="H3" s="23">
        <f>SALESTABLE[[#This Row],[Value]]*18%</f>
        <v>4000.5</v>
      </c>
      <c r="I3" s="23"/>
      <c r="J3" s="25"/>
      <c r="K3" s="26"/>
    </row>
    <row r="4" spans="1:11" hidden="1" x14ac:dyDescent="0.25">
      <c r="A4" s="9">
        <v>45748</v>
      </c>
      <c r="B4" s="4" t="s">
        <v>95</v>
      </c>
      <c r="C4" s="5" t="s">
        <v>8</v>
      </c>
      <c r="D4" s="18">
        <v>85</v>
      </c>
      <c r="E4" s="22">
        <v>100.12</v>
      </c>
      <c r="F4" s="6">
        <v>8510</v>
      </c>
      <c r="G4" s="3">
        <f>SALESTABLE[[#This Row],[Value]]+SALESTABLE[[#This Row],[gst]]</f>
        <v>10041.799999999999</v>
      </c>
      <c r="H4" s="23">
        <f>SALESTABLE[[#This Row],[Value]]*18%</f>
        <v>1531.8</v>
      </c>
      <c r="I4" s="23"/>
      <c r="J4" s="15"/>
    </row>
    <row r="5" spans="1:11" hidden="1" x14ac:dyDescent="0.25">
      <c r="A5" s="9">
        <v>45748</v>
      </c>
      <c r="B5" s="4" t="s">
        <v>95</v>
      </c>
      <c r="C5" s="5" t="s">
        <v>8</v>
      </c>
      <c r="D5" s="18">
        <v>220</v>
      </c>
      <c r="E5" s="22">
        <v>55</v>
      </c>
      <c r="F5" s="6">
        <v>12100</v>
      </c>
      <c r="G5" s="3">
        <f>SALESTABLE[[#This Row],[Value]]+SALESTABLE[[#This Row],[gst]]</f>
        <v>14278</v>
      </c>
      <c r="H5" s="23">
        <f>SALESTABLE[[#This Row],[Value]]*18%</f>
        <v>2178</v>
      </c>
      <c r="I5" s="23"/>
      <c r="J5" s="15"/>
    </row>
    <row r="6" spans="1:11" hidden="1" x14ac:dyDescent="0.25">
      <c r="A6" s="9">
        <v>45748</v>
      </c>
      <c r="B6" t="s">
        <v>100</v>
      </c>
      <c r="C6" s="5" t="s">
        <v>8</v>
      </c>
      <c r="D6" s="18">
        <v>26</v>
      </c>
      <c r="E6" s="22">
        <v>107</v>
      </c>
      <c r="F6" s="6">
        <v>2782</v>
      </c>
      <c r="G6" s="3">
        <f>SALESTABLE[[#This Row],[Value]]+SALESTABLE[[#This Row],[gst]]</f>
        <v>3282.76</v>
      </c>
      <c r="H6" s="23">
        <f>SALESTABLE[[#This Row],[Value]]*18%</f>
        <v>500.76</v>
      </c>
      <c r="I6" s="23"/>
      <c r="J6" s="15"/>
    </row>
    <row r="7" spans="1:11" hidden="1" x14ac:dyDescent="0.25">
      <c r="A7" s="9">
        <v>45748</v>
      </c>
      <c r="B7" s="4" t="s">
        <v>93</v>
      </c>
      <c r="C7" s="5" t="s">
        <v>8</v>
      </c>
      <c r="D7" s="18">
        <v>5</v>
      </c>
      <c r="E7" s="22">
        <v>60</v>
      </c>
      <c r="F7" s="6">
        <v>300</v>
      </c>
      <c r="G7" s="3">
        <f>SALESTABLE[[#This Row],[Value]]+SALESTABLE[[#This Row],[gst]]</f>
        <v>354</v>
      </c>
      <c r="H7" s="23">
        <f>SALESTABLE[[#This Row],[Value]]*18%</f>
        <v>54</v>
      </c>
      <c r="I7" s="23"/>
      <c r="J7" s="15"/>
    </row>
    <row r="8" spans="1:11" hidden="1" x14ac:dyDescent="0.25">
      <c r="A8" s="9">
        <v>45748</v>
      </c>
      <c r="B8" s="4" t="s">
        <v>9</v>
      </c>
      <c r="C8" s="5" t="s">
        <v>8</v>
      </c>
      <c r="D8" s="18">
        <v>1</v>
      </c>
      <c r="E8" s="22">
        <v>300</v>
      </c>
      <c r="F8" s="6">
        <v>300</v>
      </c>
      <c r="G8" s="3">
        <f>SALESTABLE[[#This Row],[Value]]+SALESTABLE[[#This Row],[gst]]</f>
        <v>354</v>
      </c>
      <c r="H8" s="23">
        <f>SALESTABLE[[#This Row],[Value]]*18%</f>
        <v>54</v>
      </c>
      <c r="I8" s="23"/>
      <c r="J8" s="15"/>
    </row>
    <row r="9" spans="1:11" hidden="1" x14ac:dyDescent="0.25">
      <c r="A9" s="9">
        <v>45748</v>
      </c>
      <c r="B9" s="4" t="s">
        <v>101</v>
      </c>
      <c r="C9" s="5" t="s">
        <v>8</v>
      </c>
      <c r="D9" s="18">
        <v>70</v>
      </c>
      <c r="E9" s="22">
        <v>165</v>
      </c>
      <c r="F9" s="6">
        <v>11550</v>
      </c>
      <c r="G9" s="3">
        <f>SALESTABLE[[#This Row],[Value]]+SALESTABLE[[#This Row],[gst]]</f>
        <v>13629</v>
      </c>
      <c r="H9" s="23">
        <f>SALESTABLE[[#This Row],[Value]]*18%</f>
        <v>2079</v>
      </c>
      <c r="I9" s="23"/>
      <c r="J9" s="15"/>
    </row>
    <row r="10" spans="1:11" hidden="1" x14ac:dyDescent="0.25">
      <c r="A10" s="9">
        <v>45749</v>
      </c>
      <c r="B10" s="4" t="s">
        <v>51</v>
      </c>
      <c r="C10" s="5" t="s">
        <v>8</v>
      </c>
      <c r="D10" s="18">
        <v>349</v>
      </c>
      <c r="E10" s="22">
        <v>88.83</v>
      </c>
      <c r="F10" s="6">
        <v>31000</v>
      </c>
      <c r="G10" s="3">
        <f>SALESTABLE[[#This Row],[Value]]+SALESTABLE[[#This Row],[gst]]</f>
        <v>36580</v>
      </c>
      <c r="H10" s="23">
        <f>SALESTABLE[[#This Row],[Value]]*18%</f>
        <v>5580</v>
      </c>
      <c r="I10" s="23"/>
      <c r="J10" s="15"/>
    </row>
    <row r="11" spans="1:11" hidden="1" x14ac:dyDescent="0.25">
      <c r="A11" s="9">
        <v>45749</v>
      </c>
      <c r="B11" s="4" t="s">
        <v>48</v>
      </c>
      <c r="C11" s="5" t="s">
        <v>8</v>
      </c>
      <c r="D11" s="18">
        <v>10</v>
      </c>
      <c r="E11" s="22">
        <v>125</v>
      </c>
      <c r="F11" s="6">
        <v>1250</v>
      </c>
      <c r="G11" s="3">
        <f>SALESTABLE[[#This Row],[Value]]+SALESTABLE[[#This Row],[gst]]</f>
        <v>1475</v>
      </c>
      <c r="H11" s="23">
        <f>SALESTABLE[[#This Row],[Value]]*18%</f>
        <v>225</v>
      </c>
      <c r="I11" s="23"/>
      <c r="J11" s="15"/>
    </row>
    <row r="12" spans="1:11" hidden="1" x14ac:dyDescent="0.25">
      <c r="A12" s="9">
        <v>45749</v>
      </c>
      <c r="B12" s="4" t="s">
        <v>79</v>
      </c>
      <c r="C12" s="5" t="s">
        <v>8</v>
      </c>
      <c r="D12" s="18">
        <v>26</v>
      </c>
      <c r="E12" s="22">
        <v>115</v>
      </c>
      <c r="F12" s="6">
        <v>52280</v>
      </c>
      <c r="G12" s="3">
        <f>SALESTABLE[[#This Row],[Value]]+SALESTABLE[[#This Row],[gst]]</f>
        <v>61690.400000000001</v>
      </c>
      <c r="H12" s="23">
        <f>SALESTABLE[[#This Row],[Value]]*18%</f>
        <v>9410.4</v>
      </c>
      <c r="I12" s="23"/>
      <c r="J12" s="15"/>
    </row>
    <row r="13" spans="1:11" hidden="1" x14ac:dyDescent="0.25">
      <c r="A13" s="9">
        <v>45749</v>
      </c>
      <c r="B13" s="4" t="s">
        <v>94</v>
      </c>
      <c r="C13" s="5" t="s">
        <v>8</v>
      </c>
      <c r="D13" s="18">
        <v>26</v>
      </c>
      <c r="E13" s="22">
        <v>115</v>
      </c>
      <c r="F13" s="6">
        <v>38312</v>
      </c>
      <c r="G13" s="3">
        <f>SALESTABLE[[#This Row],[Value]]+SALESTABLE[[#This Row],[gst]]</f>
        <v>45208.160000000003</v>
      </c>
      <c r="H13" s="23">
        <f>SALESTABLE[[#This Row],[Value]]*18%</f>
        <v>6896.16</v>
      </c>
      <c r="I13" s="23"/>
      <c r="J13" s="15"/>
    </row>
    <row r="14" spans="1:11" hidden="1" x14ac:dyDescent="0.25">
      <c r="A14" s="9">
        <v>45749</v>
      </c>
      <c r="B14" s="4" t="s">
        <v>10</v>
      </c>
      <c r="C14" s="5" t="s">
        <v>8</v>
      </c>
      <c r="D14" s="18">
        <v>52</v>
      </c>
      <c r="E14" s="22">
        <v>127.5</v>
      </c>
      <c r="F14" s="6">
        <v>6630</v>
      </c>
      <c r="G14" s="3">
        <f>SALESTABLE[[#This Row],[Value]]+SALESTABLE[[#This Row],[gst]]</f>
        <v>7823.4</v>
      </c>
      <c r="H14" s="23">
        <f>SALESTABLE[[#This Row],[Value]]*18%</f>
        <v>1193.3999999999999</v>
      </c>
      <c r="I14" s="23"/>
      <c r="J14" s="15"/>
    </row>
    <row r="15" spans="1:11" hidden="1" x14ac:dyDescent="0.25">
      <c r="A15" s="9">
        <v>45749</v>
      </c>
      <c r="B15" s="4" t="s">
        <v>86</v>
      </c>
      <c r="C15" s="5" t="s">
        <v>8</v>
      </c>
      <c r="D15" s="18">
        <v>52</v>
      </c>
      <c r="E15" s="22">
        <v>137</v>
      </c>
      <c r="F15" s="6">
        <v>7124</v>
      </c>
      <c r="G15" s="3">
        <f>SALESTABLE[[#This Row],[Value]]+SALESTABLE[[#This Row],[gst]]</f>
        <v>8406.32</v>
      </c>
      <c r="H15" s="23">
        <f>SALESTABLE[[#This Row],[Value]]*18%</f>
        <v>1282.32</v>
      </c>
      <c r="I15" s="23"/>
      <c r="J15" s="15"/>
    </row>
    <row r="16" spans="1:11" hidden="1" x14ac:dyDescent="0.25">
      <c r="A16" s="9">
        <v>45749</v>
      </c>
      <c r="B16" s="4" t="s">
        <v>11</v>
      </c>
      <c r="C16" s="5" t="s">
        <v>8</v>
      </c>
      <c r="D16" s="18">
        <v>70</v>
      </c>
      <c r="E16" s="22">
        <v>77.5</v>
      </c>
      <c r="F16" s="6">
        <v>5425</v>
      </c>
      <c r="G16" s="3">
        <f>SALESTABLE[[#This Row],[Value]]+SALESTABLE[[#This Row],[gst]]</f>
        <v>6401.5</v>
      </c>
      <c r="H16" s="23">
        <f>SALESTABLE[[#This Row],[Value]]*18%</f>
        <v>976.5</v>
      </c>
      <c r="I16" s="23"/>
      <c r="J16" s="15"/>
    </row>
    <row r="17" spans="1:10" hidden="1" x14ac:dyDescent="0.25">
      <c r="A17" s="9">
        <v>45749</v>
      </c>
      <c r="B17" s="4" t="s">
        <v>53</v>
      </c>
      <c r="C17" s="5" t="s">
        <v>8</v>
      </c>
      <c r="D17" s="18">
        <v>20</v>
      </c>
      <c r="E17" s="22">
        <v>175</v>
      </c>
      <c r="F17" s="6">
        <v>3500</v>
      </c>
      <c r="G17" s="3">
        <f>SALESTABLE[[#This Row],[Value]]+SALESTABLE[[#This Row],[gst]]</f>
        <v>4130</v>
      </c>
      <c r="H17" s="23">
        <f>SALESTABLE[[#This Row],[Value]]*18%</f>
        <v>630</v>
      </c>
      <c r="I17" s="23"/>
      <c r="J17" s="15"/>
    </row>
    <row r="18" spans="1:10" hidden="1" x14ac:dyDescent="0.25">
      <c r="A18" s="9">
        <v>45749</v>
      </c>
      <c r="B18" s="4" t="s">
        <v>93</v>
      </c>
      <c r="C18" s="5" t="s">
        <v>8</v>
      </c>
      <c r="D18" s="18">
        <v>104</v>
      </c>
      <c r="E18" s="22">
        <v>102</v>
      </c>
      <c r="F18" s="6">
        <v>10608</v>
      </c>
      <c r="G18" s="3">
        <f>SALESTABLE[[#This Row],[Value]]+SALESTABLE[[#This Row],[gst]]</f>
        <v>12517.44</v>
      </c>
      <c r="H18" s="23">
        <f>SALESTABLE[[#This Row],[Value]]*18%</f>
        <v>1909.4399999999998</v>
      </c>
      <c r="I18" s="23"/>
      <c r="J18" s="15"/>
    </row>
    <row r="19" spans="1:10" ht="16.149999999999999" hidden="1" customHeight="1" x14ac:dyDescent="0.25">
      <c r="A19" s="9">
        <v>45749</v>
      </c>
      <c r="B19" t="s">
        <v>100</v>
      </c>
      <c r="C19" s="5" t="s">
        <v>8</v>
      </c>
      <c r="D19" s="18">
        <v>36</v>
      </c>
      <c r="E19" s="22">
        <v>135</v>
      </c>
      <c r="F19" s="6">
        <v>4860</v>
      </c>
      <c r="G19" s="3">
        <f>SALESTABLE[[#This Row],[Value]]+SALESTABLE[[#This Row],[gst]]</f>
        <v>5734.8</v>
      </c>
      <c r="H19" s="23">
        <f>SALESTABLE[[#This Row],[Value]]*18%</f>
        <v>874.8</v>
      </c>
      <c r="I19" s="23"/>
      <c r="J19" s="15"/>
    </row>
    <row r="20" spans="1:10" hidden="1" x14ac:dyDescent="0.25">
      <c r="A20" s="9">
        <v>45749</v>
      </c>
      <c r="B20" s="4" t="s">
        <v>95</v>
      </c>
      <c r="C20" s="5" t="s">
        <v>8</v>
      </c>
      <c r="D20" s="18">
        <v>88</v>
      </c>
      <c r="E20" s="22">
        <v>118.77</v>
      </c>
      <c r="F20" s="6">
        <v>10452</v>
      </c>
      <c r="G20" s="3">
        <f>SALESTABLE[[#This Row],[Value]]+SALESTABLE[[#This Row],[gst]]</f>
        <v>12333.36</v>
      </c>
      <c r="H20" s="23">
        <f>SALESTABLE[[#This Row],[Value]]*18%</f>
        <v>1881.36</v>
      </c>
      <c r="I20" s="23"/>
      <c r="J20" s="15"/>
    </row>
    <row r="21" spans="1:10" hidden="1" x14ac:dyDescent="0.25">
      <c r="A21" s="9">
        <v>45751</v>
      </c>
      <c r="B21" s="4" t="s">
        <v>96</v>
      </c>
      <c r="C21" s="5" t="s">
        <v>8</v>
      </c>
      <c r="D21" s="18">
        <v>630</v>
      </c>
      <c r="E21" s="22">
        <v>55</v>
      </c>
      <c r="F21" s="6">
        <v>34650</v>
      </c>
      <c r="G21" s="3">
        <f>SALESTABLE[[#This Row],[Value]]+SALESTABLE[[#This Row],[gst]]</f>
        <v>40887</v>
      </c>
      <c r="H21" s="23">
        <f>SALESTABLE[[#This Row],[Value]]*18%</f>
        <v>6237</v>
      </c>
      <c r="I21" s="23"/>
      <c r="J21" s="15"/>
    </row>
    <row r="22" spans="1:10" hidden="1" x14ac:dyDescent="0.25">
      <c r="A22" s="9">
        <v>45751</v>
      </c>
      <c r="B22" s="4" t="s">
        <v>86</v>
      </c>
      <c r="C22" s="5" t="s">
        <v>8</v>
      </c>
      <c r="D22" s="18">
        <v>210</v>
      </c>
      <c r="E22" s="22">
        <v>80</v>
      </c>
      <c r="F22" s="6">
        <v>16800</v>
      </c>
      <c r="G22" s="3">
        <f>SALESTABLE[[#This Row],[Value]]+SALESTABLE[[#This Row],[gst]]</f>
        <v>19824</v>
      </c>
      <c r="H22" s="23">
        <f>SALESTABLE[[#This Row],[Value]]*18%</f>
        <v>3024</v>
      </c>
      <c r="I22" s="23"/>
      <c r="J22" s="15"/>
    </row>
    <row r="23" spans="1:10" hidden="1" x14ac:dyDescent="0.25">
      <c r="A23" s="9">
        <v>45751</v>
      </c>
      <c r="B23" s="4" t="s">
        <v>93</v>
      </c>
      <c r="C23" s="5" t="s">
        <v>8</v>
      </c>
      <c r="D23" s="18">
        <v>130</v>
      </c>
      <c r="E23" s="22">
        <v>115</v>
      </c>
      <c r="F23" s="6">
        <v>14950</v>
      </c>
      <c r="G23" s="3">
        <f>SALESTABLE[[#This Row],[Value]]+SALESTABLE[[#This Row],[gst]]</f>
        <v>17641</v>
      </c>
      <c r="H23" s="23">
        <f>SALESTABLE[[#This Row],[Value]]*18%</f>
        <v>2691</v>
      </c>
      <c r="I23" s="23"/>
      <c r="J23" s="15"/>
    </row>
    <row r="24" spans="1:10" hidden="1" x14ac:dyDescent="0.25">
      <c r="A24" s="9">
        <v>45751</v>
      </c>
      <c r="B24" t="s">
        <v>100</v>
      </c>
      <c r="C24" s="5" t="s">
        <v>8</v>
      </c>
      <c r="D24" s="18">
        <v>210</v>
      </c>
      <c r="E24" s="22">
        <v>99</v>
      </c>
      <c r="F24" s="6">
        <v>20790</v>
      </c>
      <c r="G24" s="3">
        <f>SALESTABLE[[#This Row],[Value]]+SALESTABLE[[#This Row],[gst]]</f>
        <v>24532.2</v>
      </c>
      <c r="H24" s="23">
        <f>SALESTABLE[[#This Row],[Value]]*18%</f>
        <v>3742.2</v>
      </c>
      <c r="I24" s="23"/>
      <c r="J24" s="15"/>
    </row>
    <row r="25" spans="1:10" hidden="1" x14ac:dyDescent="0.25">
      <c r="A25" s="9">
        <v>45751</v>
      </c>
      <c r="B25" s="4" t="s">
        <v>12</v>
      </c>
      <c r="C25" s="5" t="s">
        <v>8</v>
      </c>
      <c r="D25" s="18">
        <v>210</v>
      </c>
      <c r="E25" s="22">
        <v>75</v>
      </c>
      <c r="F25" s="6">
        <v>15750</v>
      </c>
      <c r="G25" s="3">
        <f>SALESTABLE[[#This Row],[Value]]+SALESTABLE[[#This Row],[gst]]</f>
        <v>18585</v>
      </c>
      <c r="H25" s="23">
        <f>SALESTABLE[[#This Row],[Value]]*18%</f>
        <v>2835</v>
      </c>
      <c r="I25" s="23"/>
      <c r="J25" s="15"/>
    </row>
    <row r="26" spans="1:10" hidden="1" x14ac:dyDescent="0.25">
      <c r="A26" s="9">
        <v>45751</v>
      </c>
      <c r="B26" s="4" t="s">
        <v>53</v>
      </c>
      <c r="C26" s="5" t="s">
        <v>8</v>
      </c>
      <c r="D26" s="18">
        <v>20</v>
      </c>
      <c r="E26" s="22">
        <v>165</v>
      </c>
      <c r="F26" s="6">
        <v>3300</v>
      </c>
      <c r="G26" s="3">
        <f>SALESTABLE[[#This Row],[Value]]+SALESTABLE[[#This Row],[gst]]</f>
        <v>3894</v>
      </c>
      <c r="H26" s="23">
        <f>SALESTABLE[[#This Row],[Value]]*18%</f>
        <v>594</v>
      </c>
      <c r="I26" s="23"/>
      <c r="J26" s="15"/>
    </row>
    <row r="27" spans="1:10" hidden="1" x14ac:dyDescent="0.25">
      <c r="A27" s="9">
        <v>45751</v>
      </c>
      <c r="B27" t="s">
        <v>100</v>
      </c>
      <c r="C27" s="5" t="s">
        <v>8</v>
      </c>
      <c r="D27" s="18">
        <v>26</v>
      </c>
      <c r="E27" s="22">
        <v>115</v>
      </c>
      <c r="F27" s="6">
        <v>12870</v>
      </c>
      <c r="G27" s="3">
        <f>SALESTABLE[[#This Row],[Value]]+SALESTABLE[[#This Row],[gst]]</f>
        <v>15186.6</v>
      </c>
      <c r="H27" s="23">
        <f>SALESTABLE[[#This Row],[Value]]*18%</f>
        <v>2316.6</v>
      </c>
      <c r="I27" s="23"/>
      <c r="J27" s="15"/>
    </row>
    <row r="28" spans="1:10" hidden="1" x14ac:dyDescent="0.25">
      <c r="A28" s="9">
        <v>45751</v>
      </c>
      <c r="B28" s="4" t="s">
        <v>52</v>
      </c>
      <c r="C28" s="5" t="s">
        <v>8</v>
      </c>
      <c r="D28" s="18">
        <v>210</v>
      </c>
      <c r="E28" s="22">
        <v>80</v>
      </c>
      <c r="F28" s="6">
        <v>16800</v>
      </c>
      <c r="G28" s="3">
        <f>SALESTABLE[[#This Row],[Value]]+SALESTABLE[[#This Row],[gst]]</f>
        <v>19824</v>
      </c>
      <c r="H28" s="23">
        <f>SALESTABLE[[#This Row],[Value]]*18%</f>
        <v>3024</v>
      </c>
      <c r="I28" s="23"/>
      <c r="J28" s="15"/>
    </row>
    <row r="29" spans="1:10" hidden="1" x14ac:dyDescent="0.25">
      <c r="A29" s="9">
        <v>45751</v>
      </c>
      <c r="B29" t="s">
        <v>100</v>
      </c>
      <c r="C29" s="5" t="s">
        <v>8</v>
      </c>
      <c r="D29" s="18">
        <v>28</v>
      </c>
      <c r="E29" s="22">
        <v>129.29</v>
      </c>
      <c r="F29" s="6">
        <v>3620</v>
      </c>
      <c r="G29" s="3">
        <f>SALESTABLE[[#This Row],[Value]]+SALESTABLE[[#This Row],[gst]]</f>
        <v>4271.6000000000004</v>
      </c>
      <c r="H29" s="23">
        <f>SALESTABLE[[#This Row],[Value]]*18%</f>
        <v>651.6</v>
      </c>
      <c r="I29" s="23"/>
      <c r="J29" s="15"/>
    </row>
    <row r="30" spans="1:10" hidden="1" x14ac:dyDescent="0.25">
      <c r="A30" s="9">
        <v>45751</v>
      </c>
      <c r="B30" s="4" t="s">
        <v>93</v>
      </c>
      <c r="C30" s="5" t="s">
        <v>8</v>
      </c>
      <c r="D30" s="18">
        <v>840</v>
      </c>
      <c r="E30" s="22">
        <v>76.25</v>
      </c>
      <c r="F30" s="6">
        <v>64050</v>
      </c>
      <c r="G30" s="3">
        <f>SALESTABLE[[#This Row],[Value]]+SALESTABLE[[#This Row],[gst]]</f>
        <v>75579</v>
      </c>
      <c r="H30" s="23">
        <f>SALESTABLE[[#This Row],[Value]]*18%</f>
        <v>11529</v>
      </c>
      <c r="I30" s="23"/>
      <c r="J30" s="15"/>
    </row>
    <row r="31" spans="1:10" hidden="1" x14ac:dyDescent="0.25">
      <c r="A31" s="9">
        <v>45752</v>
      </c>
      <c r="B31" s="4" t="s">
        <v>96</v>
      </c>
      <c r="C31" s="5" t="s">
        <v>8</v>
      </c>
      <c r="D31" s="18">
        <v>122</v>
      </c>
      <c r="E31" s="22">
        <v>86.49</v>
      </c>
      <c r="F31" s="6">
        <v>10552</v>
      </c>
      <c r="G31" s="3">
        <f>SALESTABLE[[#This Row],[Value]]+SALESTABLE[[#This Row],[gst]]</f>
        <v>12451.36</v>
      </c>
      <c r="H31" s="23">
        <f>SALESTABLE[[#This Row],[Value]]*18%</f>
        <v>1899.36</v>
      </c>
      <c r="I31" s="23"/>
      <c r="J31" s="15"/>
    </row>
    <row r="32" spans="1:10" hidden="1" x14ac:dyDescent="0.25">
      <c r="A32" s="9">
        <v>45752</v>
      </c>
      <c r="B32" s="4" t="s">
        <v>95</v>
      </c>
      <c r="C32" s="5" t="s">
        <v>8</v>
      </c>
      <c r="D32" s="18">
        <v>220</v>
      </c>
      <c r="E32" s="22">
        <v>55</v>
      </c>
      <c r="F32" s="6">
        <v>12100</v>
      </c>
      <c r="G32" s="3">
        <f>SALESTABLE[[#This Row],[Value]]+SALESTABLE[[#This Row],[gst]]</f>
        <v>14278</v>
      </c>
      <c r="H32" s="23">
        <f>SALESTABLE[[#This Row],[Value]]*18%</f>
        <v>2178</v>
      </c>
      <c r="I32" s="23"/>
      <c r="J32" s="15"/>
    </row>
    <row r="33" spans="1:10" hidden="1" x14ac:dyDescent="0.25">
      <c r="A33" s="9">
        <v>45752</v>
      </c>
      <c r="B33" t="s">
        <v>100</v>
      </c>
      <c r="C33" s="5" t="s">
        <v>8</v>
      </c>
      <c r="D33" s="18">
        <v>420</v>
      </c>
      <c r="E33" s="22">
        <v>103</v>
      </c>
      <c r="F33" s="6">
        <v>43260</v>
      </c>
      <c r="G33" s="3">
        <f>SALESTABLE[[#This Row],[Value]]+SALESTABLE[[#This Row],[gst]]</f>
        <v>51046.8</v>
      </c>
      <c r="H33" s="23">
        <f>SALESTABLE[[#This Row],[Value]]*18%</f>
        <v>7786.7999999999993</v>
      </c>
      <c r="I33" s="23"/>
      <c r="J33" s="15"/>
    </row>
    <row r="34" spans="1:10" hidden="1" x14ac:dyDescent="0.25">
      <c r="A34" s="9">
        <v>45752</v>
      </c>
      <c r="B34" s="4" t="s">
        <v>78</v>
      </c>
      <c r="C34" s="5" t="s">
        <v>8</v>
      </c>
      <c r="D34" s="18">
        <v>63</v>
      </c>
      <c r="E34" s="22">
        <v>113.57</v>
      </c>
      <c r="F34" s="6">
        <v>7155</v>
      </c>
      <c r="G34" s="3">
        <f>SALESTABLE[[#This Row],[Value]]+SALESTABLE[[#This Row],[gst]]</f>
        <v>8442.9</v>
      </c>
      <c r="H34" s="23">
        <f>SALESTABLE[[#This Row],[Value]]*18%</f>
        <v>1287.8999999999999</v>
      </c>
      <c r="I34" s="23"/>
      <c r="J34" s="15"/>
    </row>
    <row r="35" spans="1:10" hidden="1" x14ac:dyDescent="0.25">
      <c r="A35" s="9">
        <v>45752</v>
      </c>
      <c r="B35" s="4" t="s">
        <v>96</v>
      </c>
      <c r="C35" s="5" t="s">
        <v>8</v>
      </c>
      <c r="D35" s="18">
        <v>210</v>
      </c>
      <c r="E35" s="22">
        <v>62</v>
      </c>
      <c r="F35" s="6">
        <v>13020</v>
      </c>
      <c r="G35" s="3">
        <f>SALESTABLE[[#This Row],[Value]]+SALESTABLE[[#This Row],[gst]]</f>
        <v>15363.6</v>
      </c>
      <c r="H35" s="23">
        <f>SALESTABLE[[#This Row],[Value]]*18%</f>
        <v>2343.6</v>
      </c>
      <c r="I35" s="23"/>
      <c r="J35" s="15"/>
    </row>
    <row r="36" spans="1:10" hidden="1" x14ac:dyDescent="0.25">
      <c r="A36" s="9">
        <v>45752</v>
      </c>
      <c r="B36" s="4" t="s">
        <v>7</v>
      </c>
      <c r="C36" s="5" t="s">
        <v>8</v>
      </c>
      <c r="D36" s="18">
        <v>20</v>
      </c>
      <c r="E36" s="22">
        <v>305</v>
      </c>
      <c r="F36" s="6">
        <v>6100</v>
      </c>
      <c r="G36" s="3">
        <f>SALESTABLE[[#This Row],[Value]]+SALESTABLE[[#This Row],[gst]]</f>
        <v>7198</v>
      </c>
      <c r="H36" s="23">
        <f>SALESTABLE[[#This Row],[Value]]*18%</f>
        <v>1098</v>
      </c>
      <c r="I36" s="23"/>
      <c r="J36" s="15"/>
    </row>
    <row r="37" spans="1:10" hidden="1" x14ac:dyDescent="0.25">
      <c r="A37" s="9">
        <v>45753</v>
      </c>
      <c r="B37" s="4" t="s">
        <v>42</v>
      </c>
      <c r="C37" s="5" t="s">
        <v>8</v>
      </c>
      <c r="D37" s="18">
        <v>113</v>
      </c>
      <c r="E37" s="22">
        <v>112.26</v>
      </c>
      <c r="F37" s="6">
        <v>12685</v>
      </c>
      <c r="G37" s="3">
        <f>SALESTABLE[[#This Row],[Value]]+SALESTABLE[[#This Row],[gst]]</f>
        <v>14968.3</v>
      </c>
      <c r="H37" s="23">
        <f>SALESTABLE[[#This Row],[Value]]*18%</f>
        <v>2283.2999999999997</v>
      </c>
      <c r="I37" s="23"/>
      <c r="J37" s="15"/>
    </row>
    <row r="38" spans="1:10" hidden="1" x14ac:dyDescent="0.25">
      <c r="A38" s="9">
        <v>45753</v>
      </c>
      <c r="B38" s="4" t="s">
        <v>82</v>
      </c>
      <c r="C38" s="5" t="s">
        <v>8</v>
      </c>
      <c r="D38" s="18">
        <v>420</v>
      </c>
      <c r="E38" s="22">
        <v>92</v>
      </c>
      <c r="F38" s="6">
        <v>38640</v>
      </c>
      <c r="G38" s="3">
        <f>SALESTABLE[[#This Row],[Value]]+SALESTABLE[[#This Row],[gst]]</f>
        <v>45595.199999999997</v>
      </c>
      <c r="H38" s="23">
        <f>SALESTABLE[[#This Row],[Value]]*18%</f>
        <v>6955.2</v>
      </c>
      <c r="I38" s="23"/>
      <c r="J38" s="15"/>
    </row>
    <row r="39" spans="1:10" hidden="1" x14ac:dyDescent="0.25">
      <c r="A39" s="9">
        <v>45753</v>
      </c>
      <c r="B39" t="s">
        <v>100</v>
      </c>
      <c r="C39" s="5" t="s">
        <v>8</v>
      </c>
      <c r="D39" s="18">
        <v>35</v>
      </c>
      <c r="E39" s="22">
        <v>75</v>
      </c>
      <c r="F39" s="6">
        <v>2625</v>
      </c>
      <c r="G39" s="3">
        <f>SALESTABLE[[#This Row],[Value]]+SALESTABLE[[#This Row],[gst]]</f>
        <v>3097.5</v>
      </c>
      <c r="H39" s="23">
        <f>SALESTABLE[[#This Row],[Value]]*18%</f>
        <v>472.5</v>
      </c>
      <c r="I39" s="23"/>
      <c r="J39" s="15"/>
    </row>
    <row r="40" spans="1:10" hidden="1" x14ac:dyDescent="0.25">
      <c r="A40" s="9">
        <v>45753</v>
      </c>
      <c r="B40" s="4" t="s">
        <v>13</v>
      </c>
      <c r="C40" s="5" t="s">
        <v>8</v>
      </c>
      <c r="D40" s="18">
        <v>1050</v>
      </c>
      <c r="E40" s="22">
        <v>62</v>
      </c>
      <c r="F40" s="6">
        <v>65100</v>
      </c>
      <c r="G40" s="3">
        <f>SALESTABLE[[#This Row],[Value]]+SALESTABLE[[#This Row],[gst]]</f>
        <v>76818</v>
      </c>
      <c r="H40" s="23">
        <f>SALESTABLE[[#This Row],[Value]]*18%</f>
        <v>11718</v>
      </c>
      <c r="I40" s="23"/>
      <c r="J40" s="15"/>
    </row>
    <row r="41" spans="1:10" hidden="1" x14ac:dyDescent="0.25">
      <c r="A41" s="9">
        <v>45753</v>
      </c>
      <c r="B41" s="4" t="s">
        <v>94</v>
      </c>
      <c r="C41" s="5" t="s">
        <v>8</v>
      </c>
      <c r="D41" s="18">
        <v>26</v>
      </c>
      <c r="E41" s="22">
        <v>115</v>
      </c>
      <c r="F41" s="6">
        <v>2412.75</v>
      </c>
      <c r="G41" s="3">
        <f>SALESTABLE[[#This Row],[Value]]+SALESTABLE[[#This Row],[gst]]</f>
        <v>2847.0450000000001</v>
      </c>
      <c r="H41" s="23">
        <f>SALESTABLE[[#This Row],[Value]]*18%</f>
        <v>434.29499999999996</v>
      </c>
      <c r="I41" s="23"/>
      <c r="J41" s="15"/>
    </row>
    <row r="42" spans="1:10" hidden="1" x14ac:dyDescent="0.25">
      <c r="A42" s="9">
        <v>45753</v>
      </c>
      <c r="B42" s="4" t="s">
        <v>14</v>
      </c>
      <c r="C42" s="5" t="s">
        <v>8</v>
      </c>
      <c r="D42" s="18">
        <v>26</v>
      </c>
      <c r="E42" s="22">
        <v>108</v>
      </c>
      <c r="F42" s="6">
        <v>2808</v>
      </c>
      <c r="G42" s="3">
        <f>SALESTABLE[[#This Row],[Value]]+SALESTABLE[[#This Row],[gst]]</f>
        <v>3313.44</v>
      </c>
      <c r="H42" s="23">
        <f>SALESTABLE[[#This Row],[Value]]*18%</f>
        <v>505.44</v>
      </c>
      <c r="I42" s="23"/>
      <c r="J42" s="15"/>
    </row>
    <row r="43" spans="1:10" hidden="1" x14ac:dyDescent="0.25">
      <c r="A43" s="9">
        <v>45753</v>
      </c>
      <c r="B43" s="4" t="s">
        <v>15</v>
      </c>
      <c r="C43" s="5" t="s">
        <v>8</v>
      </c>
      <c r="D43" s="18">
        <v>50</v>
      </c>
      <c r="E43" s="22">
        <v>72</v>
      </c>
      <c r="F43" s="6">
        <v>3600</v>
      </c>
      <c r="G43" s="3">
        <f>SALESTABLE[[#This Row],[Value]]+SALESTABLE[[#This Row],[gst]]</f>
        <v>4248</v>
      </c>
      <c r="H43" s="23">
        <f>SALESTABLE[[#This Row],[Value]]*18%</f>
        <v>648</v>
      </c>
      <c r="I43" s="23"/>
      <c r="J43" s="15"/>
    </row>
    <row r="44" spans="1:10" hidden="1" x14ac:dyDescent="0.25">
      <c r="A44" s="9">
        <v>45753</v>
      </c>
      <c r="B44" s="4" t="s">
        <v>102</v>
      </c>
      <c r="C44" s="5" t="s">
        <v>8</v>
      </c>
      <c r="D44" s="18">
        <v>2</v>
      </c>
      <c r="E44" s="22">
        <v>380</v>
      </c>
      <c r="F44" s="6">
        <v>760</v>
      </c>
      <c r="G44" s="3">
        <f>SALESTABLE[[#This Row],[Value]]+SALESTABLE[[#This Row],[gst]]</f>
        <v>896.8</v>
      </c>
      <c r="H44" s="23">
        <f>SALESTABLE[[#This Row],[Value]]*18%</f>
        <v>136.79999999999998</v>
      </c>
      <c r="I44" s="23"/>
      <c r="J44" s="15"/>
    </row>
    <row r="45" spans="1:10" hidden="1" x14ac:dyDescent="0.25">
      <c r="A45" s="9">
        <v>45753</v>
      </c>
      <c r="B45" s="4" t="s">
        <v>83</v>
      </c>
      <c r="C45" s="5" t="s">
        <v>8</v>
      </c>
      <c r="D45" s="18">
        <v>26</v>
      </c>
      <c r="E45" s="22">
        <v>116</v>
      </c>
      <c r="F45" s="6">
        <v>3016</v>
      </c>
      <c r="G45" s="3">
        <f>SALESTABLE[[#This Row],[Value]]+SALESTABLE[[#This Row],[gst]]</f>
        <v>3558.88</v>
      </c>
      <c r="H45" s="23">
        <f>SALESTABLE[[#This Row],[Value]]*18%</f>
        <v>542.88</v>
      </c>
      <c r="I45" s="23"/>
      <c r="J45" s="15"/>
    </row>
    <row r="46" spans="1:10" hidden="1" x14ac:dyDescent="0.25">
      <c r="A46" s="9">
        <v>45753</v>
      </c>
      <c r="B46" s="4" t="s">
        <v>96</v>
      </c>
      <c r="C46" s="5" t="s">
        <v>8</v>
      </c>
      <c r="D46" s="18">
        <v>52</v>
      </c>
      <c r="E46" s="22">
        <v>105</v>
      </c>
      <c r="F46" s="6">
        <v>5460</v>
      </c>
      <c r="G46" s="3">
        <f>SALESTABLE[[#This Row],[Value]]+SALESTABLE[[#This Row],[gst]]</f>
        <v>6442.8</v>
      </c>
      <c r="H46" s="23">
        <f>SALESTABLE[[#This Row],[Value]]*18%</f>
        <v>982.8</v>
      </c>
      <c r="I46" s="23"/>
      <c r="J46" s="15"/>
    </row>
    <row r="47" spans="1:10" hidden="1" x14ac:dyDescent="0.25">
      <c r="A47" s="9">
        <v>45753</v>
      </c>
      <c r="B47" s="4" t="s">
        <v>66</v>
      </c>
      <c r="C47" s="5" t="s">
        <v>8</v>
      </c>
      <c r="D47" s="18">
        <v>104</v>
      </c>
      <c r="E47" s="22">
        <v>120</v>
      </c>
      <c r="F47" s="6">
        <v>12480</v>
      </c>
      <c r="G47" s="3">
        <f>SALESTABLE[[#This Row],[Value]]+SALESTABLE[[#This Row],[gst]]</f>
        <v>14726.4</v>
      </c>
      <c r="H47" s="23">
        <f>SALESTABLE[[#This Row],[Value]]*18%</f>
        <v>2246.4</v>
      </c>
      <c r="I47" s="23"/>
      <c r="J47" s="15"/>
    </row>
    <row r="48" spans="1:10" hidden="1" x14ac:dyDescent="0.25">
      <c r="A48" s="9">
        <v>45754</v>
      </c>
      <c r="B48" t="s">
        <v>100</v>
      </c>
      <c r="C48" s="5" t="s">
        <v>8</v>
      </c>
      <c r="D48" s="18">
        <v>26</v>
      </c>
      <c r="E48" s="22">
        <v>136</v>
      </c>
      <c r="F48" s="6">
        <v>3536</v>
      </c>
      <c r="G48" s="3">
        <f>SALESTABLE[[#This Row],[Value]]+SALESTABLE[[#This Row],[gst]]</f>
        <v>4172.4799999999996</v>
      </c>
      <c r="H48" s="23">
        <f>SALESTABLE[[#This Row],[Value]]*18%</f>
        <v>636.48</v>
      </c>
      <c r="I48" s="23"/>
      <c r="J48" s="15"/>
    </row>
    <row r="49" spans="1:11" hidden="1" x14ac:dyDescent="0.25">
      <c r="A49" s="9">
        <v>45754</v>
      </c>
      <c r="B49" s="4" t="s">
        <v>91</v>
      </c>
      <c r="C49" s="5" t="s">
        <v>8</v>
      </c>
      <c r="D49" s="18">
        <v>211</v>
      </c>
      <c r="E49" s="22">
        <v>118.39</v>
      </c>
      <c r="F49" s="6">
        <v>24980</v>
      </c>
      <c r="G49" s="3">
        <f>SALESTABLE[[#This Row],[Value]]+SALESTABLE[[#This Row],[gst]]</f>
        <v>29476.400000000001</v>
      </c>
      <c r="H49" s="23">
        <f>SALESTABLE[[#This Row],[Value]]*18%</f>
        <v>4496.3999999999996</v>
      </c>
      <c r="I49" s="23"/>
      <c r="J49" s="15"/>
    </row>
    <row r="50" spans="1:11" hidden="1" x14ac:dyDescent="0.25">
      <c r="A50" s="9">
        <v>45754</v>
      </c>
      <c r="B50" s="4" t="s">
        <v>42</v>
      </c>
      <c r="C50" s="5" t="s">
        <v>8</v>
      </c>
      <c r="D50" s="18">
        <v>210</v>
      </c>
      <c r="E50" s="22">
        <v>120</v>
      </c>
      <c r="F50" s="6">
        <v>25200</v>
      </c>
      <c r="G50" s="3">
        <f>SALESTABLE[[#This Row],[Value]]+SALESTABLE[[#This Row],[gst]]</f>
        <v>29736</v>
      </c>
      <c r="H50" s="23">
        <f>SALESTABLE[[#This Row],[Value]]*18%</f>
        <v>4536</v>
      </c>
      <c r="I50" s="23"/>
      <c r="J50" s="15"/>
    </row>
    <row r="51" spans="1:11" hidden="1" x14ac:dyDescent="0.25">
      <c r="A51" s="9">
        <v>45754</v>
      </c>
      <c r="B51" s="4" t="s">
        <v>96</v>
      </c>
      <c r="C51" s="5" t="s">
        <v>8</v>
      </c>
      <c r="D51" s="18">
        <v>26</v>
      </c>
      <c r="E51" s="22">
        <v>115</v>
      </c>
      <c r="F51" s="6">
        <v>21580</v>
      </c>
      <c r="G51" s="3">
        <f>SALESTABLE[[#This Row],[Value]]+SALESTABLE[[#This Row],[gst]]</f>
        <v>25464.400000000001</v>
      </c>
      <c r="H51" s="23">
        <f>SALESTABLE[[#This Row],[Value]]*18%</f>
        <v>3884.3999999999996</v>
      </c>
      <c r="I51" s="23"/>
      <c r="J51" s="15"/>
    </row>
    <row r="52" spans="1:11" hidden="1" x14ac:dyDescent="0.25">
      <c r="A52" s="9">
        <v>45754</v>
      </c>
      <c r="B52" s="4" t="s">
        <v>90</v>
      </c>
      <c r="C52" s="5" t="s">
        <v>8</v>
      </c>
      <c r="D52" s="18">
        <v>5</v>
      </c>
      <c r="E52" s="22">
        <v>120</v>
      </c>
      <c r="F52" s="6">
        <v>600</v>
      </c>
      <c r="G52" s="3">
        <f>SALESTABLE[[#This Row],[Value]]+SALESTABLE[[#This Row],[gst]]</f>
        <v>708</v>
      </c>
      <c r="H52" s="23">
        <f>SALESTABLE[[#This Row],[Value]]*18%</f>
        <v>108</v>
      </c>
      <c r="I52" s="23"/>
      <c r="J52" s="15"/>
    </row>
    <row r="53" spans="1:11" hidden="1" x14ac:dyDescent="0.25">
      <c r="A53" s="9">
        <v>45754</v>
      </c>
      <c r="B53" s="4" t="s">
        <v>15</v>
      </c>
      <c r="C53" s="5" t="s">
        <v>8</v>
      </c>
      <c r="D53" s="18">
        <v>48</v>
      </c>
      <c r="E53" s="22">
        <v>220</v>
      </c>
      <c r="F53" s="6">
        <v>10560</v>
      </c>
      <c r="G53" s="3">
        <f>SALESTABLE[[#This Row],[Value]]+SALESTABLE[[#This Row],[gst]]</f>
        <v>12460.8</v>
      </c>
      <c r="H53" s="23">
        <f>SALESTABLE[[#This Row],[Value]]*18%</f>
        <v>1900.8</v>
      </c>
      <c r="I53" s="23"/>
      <c r="J53" s="15"/>
    </row>
    <row r="54" spans="1:11" hidden="1" x14ac:dyDescent="0.25">
      <c r="A54" s="9">
        <v>45754</v>
      </c>
      <c r="B54" s="4" t="s">
        <v>94</v>
      </c>
      <c r="C54" s="5" t="s">
        <v>8</v>
      </c>
      <c r="D54" s="18">
        <v>26</v>
      </c>
      <c r="E54" s="22">
        <v>125</v>
      </c>
      <c r="F54" s="6">
        <v>3250</v>
      </c>
      <c r="G54" s="3">
        <f>SALESTABLE[[#This Row],[Value]]+SALESTABLE[[#This Row],[gst]]</f>
        <v>3835</v>
      </c>
      <c r="H54" s="23">
        <f>SALESTABLE[[#This Row],[Value]]*18%</f>
        <v>585</v>
      </c>
      <c r="I54" s="23"/>
      <c r="J54" s="15"/>
    </row>
    <row r="55" spans="1:11" hidden="1" x14ac:dyDescent="0.25">
      <c r="A55" s="9">
        <v>45754</v>
      </c>
      <c r="B55" s="4" t="s">
        <v>96</v>
      </c>
      <c r="C55" s="5" t="s">
        <v>8</v>
      </c>
      <c r="D55" s="18">
        <v>52</v>
      </c>
      <c r="E55" s="22">
        <v>100</v>
      </c>
      <c r="F55" s="6">
        <v>5200</v>
      </c>
      <c r="G55" s="3">
        <f>SALESTABLE[[#This Row],[Value]]+SALESTABLE[[#This Row],[gst]]</f>
        <v>6136</v>
      </c>
      <c r="H55" s="23">
        <f>SALESTABLE[[#This Row],[Value]]*18%</f>
        <v>936</v>
      </c>
      <c r="I55" s="23"/>
      <c r="J55" s="15"/>
    </row>
    <row r="56" spans="1:11" hidden="1" x14ac:dyDescent="0.25">
      <c r="A56" s="9">
        <v>45755</v>
      </c>
      <c r="B56" t="s">
        <v>100</v>
      </c>
      <c r="C56" s="5" t="s">
        <v>8</v>
      </c>
      <c r="D56" s="18">
        <v>210</v>
      </c>
      <c r="E56" s="22">
        <v>93</v>
      </c>
      <c r="F56" s="6">
        <v>19530</v>
      </c>
      <c r="G56" s="3">
        <f>SALESTABLE[[#This Row],[Value]]+SALESTABLE[[#This Row],[gst]]</f>
        <v>23045.4</v>
      </c>
      <c r="H56" s="23">
        <f>SALESTABLE[[#This Row],[Value]]*18%</f>
        <v>3515.4</v>
      </c>
      <c r="I56" s="23"/>
      <c r="J56" s="15"/>
    </row>
    <row r="57" spans="1:11" hidden="1" x14ac:dyDescent="0.25">
      <c r="A57" s="9">
        <v>45755</v>
      </c>
      <c r="B57" t="s">
        <v>100</v>
      </c>
      <c r="C57" s="5" t="s">
        <v>8</v>
      </c>
      <c r="D57" s="18">
        <v>22</v>
      </c>
      <c r="E57" s="22">
        <v>90</v>
      </c>
      <c r="F57" s="6">
        <v>1980</v>
      </c>
      <c r="G57" s="3">
        <f>SALESTABLE[[#This Row],[Value]]+SALESTABLE[[#This Row],[gst]]</f>
        <v>2336.4</v>
      </c>
      <c r="H57" s="23">
        <f>SALESTABLE[[#This Row],[Value]]*18%</f>
        <v>356.4</v>
      </c>
      <c r="I57" s="23"/>
      <c r="J57" s="15"/>
      <c r="K57" s="15"/>
    </row>
    <row r="58" spans="1:11" hidden="1" x14ac:dyDescent="0.25">
      <c r="A58" s="9">
        <v>45755</v>
      </c>
      <c r="B58" s="4" t="s">
        <v>97</v>
      </c>
      <c r="C58" s="5" t="s">
        <v>8</v>
      </c>
      <c r="D58" s="18">
        <v>5</v>
      </c>
      <c r="E58" s="22">
        <v>160</v>
      </c>
      <c r="F58" s="6">
        <v>800</v>
      </c>
      <c r="G58" s="3">
        <f>SALESTABLE[[#This Row],[Value]]+SALESTABLE[[#This Row],[gst]]</f>
        <v>944</v>
      </c>
      <c r="H58" s="23">
        <f>SALESTABLE[[#This Row],[Value]]*18%</f>
        <v>144</v>
      </c>
      <c r="I58" s="23"/>
      <c r="J58" s="15"/>
      <c r="K58" s="15"/>
    </row>
    <row r="59" spans="1:11" hidden="1" x14ac:dyDescent="0.25">
      <c r="A59" s="9">
        <v>45755</v>
      </c>
      <c r="B59" t="s">
        <v>100</v>
      </c>
      <c r="C59" s="5" t="s">
        <v>8</v>
      </c>
      <c r="D59" s="18">
        <v>104</v>
      </c>
      <c r="E59" s="22">
        <v>114.5</v>
      </c>
      <c r="F59" s="6">
        <v>11908</v>
      </c>
      <c r="G59" s="3">
        <f>SALESTABLE[[#This Row],[Value]]+SALESTABLE[[#This Row],[gst]]</f>
        <v>14051.44</v>
      </c>
      <c r="H59" s="23">
        <f>SALESTABLE[[#This Row],[Value]]*18%</f>
        <v>2143.44</v>
      </c>
      <c r="I59" s="23"/>
      <c r="J59" s="15"/>
      <c r="K59" s="15"/>
    </row>
    <row r="60" spans="1:11" hidden="1" x14ac:dyDescent="0.25">
      <c r="A60" s="9">
        <v>45755</v>
      </c>
      <c r="B60" s="4" t="s">
        <v>97</v>
      </c>
      <c r="C60" s="5" t="s">
        <v>8</v>
      </c>
      <c r="D60" s="18">
        <v>10</v>
      </c>
      <c r="E60" s="22">
        <v>160</v>
      </c>
      <c r="F60" s="6">
        <v>1600</v>
      </c>
      <c r="G60" s="3">
        <f>SALESTABLE[[#This Row],[Value]]+SALESTABLE[[#This Row],[gst]]</f>
        <v>1888</v>
      </c>
      <c r="H60" s="23">
        <f>SALESTABLE[[#This Row],[Value]]*18%</f>
        <v>288</v>
      </c>
      <c r="I60" s="23"/>
      <c r="J60" s="15"/>
      <c r="K60" s="15"/>
    </row>
    <row r="61" spans="1:11" hidden="1" x14ac:dyDescent="0.25">
      <c r="A61" s="9">
        <v>45755</v>
      </c>
      <c r="B61" t="s">
        <v>100</v>
      </c>
      <c r="C61" s="5" t="s">
        <v>8</v>
      </c>
      <c r="D61" s="18">
        <v>20</v>
      </c>
      <c r="E61" s="22">
        <v>110</v>
      </c>
      <c r="F61" s="6">
        <v>2200</v>
      </c>
      <c r="G61" s="3">
        <f>SALESTABLE[[#This Row],[Value]]+SALESTABLE[[#This Row],[gst]]</f>
        <v>2596</v>
      </c>
      <c r="H61" s="23">
        <f>SALESTABLE[[#This Row],[Value]]*18%</f>
        <v>396</v>
      </c>
      <c r="I61" s="23"/>
      <c r="J61" s="15"/>
      <c r="K61" s="15"/>
    </row>
    <row r="62" spans="1:11" hidden="1" x14ac:dyDescent="0.25">
      <c r="A62" s="9">
        <v>45756</v>
      </c>
      <c r="B62" s="4" t="s">
        <v>94</v>
      </c>
      <c r="C62" s="5" t="s">
        <v>8</v>
      </c>
      <c r="D62" s="18">
        <v>630</v>
      </c>
      <c r="E62" s="22">
        <v>75</v>
      </c>
      <c r="F62" s="6">
        <v>47250</v>
      </c>
      <c r="G62" s="3">
        <f>SALESTABLE[[#This Row],[Value]]+SALESTABLE[[#This Row],[gst]]</f>
        <v>55755</v>
      </c>
      <c r="H62" s="23">
        <f>SALESTABLE[[#This Row],[Value]]*18%</f>
        <v>8505</v>
      </c>
      <c r="I62" s="23"/>
      <c r="J62" s="15"/>
      <c r="K62" s="15"/>
    </row>
    <row r="63" spans="1:11" hidden="1" x14ac:dyDescent="0.25">
      <c r="A63" s="9">
        <v>45756</v>
      </c>
      <c r="B63" s="4" t="s">
        <v>94</v>
      </c>
      <c r="C63" s="5" t="s">
        <v>8</v>
      </c>
      <c r="D63" s="18">
        <v>66</v>
      </c>
      <c r="E63" s="22">
        <v>238.97</v>
      </c>
      <c r="F63" s="6">
        <v>15772</v>
      </c>
      <c r="G63" s="3">
        <f>SALESTABLE[[#This Row],[Value]]+SALESTABLE[[#This Row],[gst]]</f>
        <v>18610.96</v>
      </c>
      <c r="H63" s="23">
        <f>SALESTABLE[[#This Row],[Value]]*18%</f>
        <v>2838.96</v>
      </c>
      <c r="I63" s="23"/>
      <c r="J63" s="15"/>
    </row>
    <row r="64" spans="1:11" hidden="1" x14ac:dyDescent="0.25">
      <c r="A64" s="9">
        <v>45756</v>
      </c>
      <c r="B64" s="4" t="s">
        <v>53</v>
      </c>
      <c r="C64" s="5" t="s">
        <v>8</v>
      </c>
      <c r="D64" s="18">
        <v>52</v>
      </c>
      <c r="E64" s="22">
        <v>95</v>
      </c>
      <c r="F64" s="6">
        <v>4940</v>
      </c>
      <c r="G64" s="3">
        <f>SALESTABLE[[#This Row],[Value]]+SALESTABLE[[#This Row],[gst]]</f>
        <v>5829.2</v>
      </c>
      <c r="H64" s="23">
        <f>SALESTABLE[[#This Row],[Value]]*18%</f>
        <v>889.19999999999993</v>
      </c>
      <c r="I64" s="23"/>
      <c r="J64" s="15"/>
    </row>
    <row r="65" spans="1:10" hidden="1" x14ac:dyDescent="0.25">
      <c r="A65" s="9">
        <v>45756</v>
      </c>
      <c r="B65" s="4" t="s">
        <v>16</v>
      </c>
      <c r="C65" s="5" t="s">
        <v>8</v>
      </c>
      <c r="D65" s="18">
        <v>20</v>
      </c>
      <c r="E65" s="22">
        <v>175</v>
      </c>
      <c r="F65" s="6">
        <v>3500</v>
      </c>
      <c r="G65" s="3">
        <f>SALESTABLE[[#This Row],[Value]]+SALESTABLE[[#This Row],[gst]]</f>
        <v>4130</v>
      </c>
      <c r="H65" s="23">
        <f>SALESTABLE[[#This Row],[Value]]*18%</f>
        <v>630</v>
      </c>
      <c r="I65" s="23"/>
      <c r="J65" s="15"/>
    </row>
    <row r="66" spans="1:10" hidden="1" x14ac:dyDescent="0.25">
      <c r="A66" s="9">
        <v>45756</v>
      </c>
      <c r="B66" s="4" t="s">
        <v>17</v>
      </c>
      <c r="C66" s="5" t="s">
        <v>8</v>
      </c>
      <c r="D66" s="18">
        <v>236</v>
      </c>
      <c r="E66" s="22">
        <v>75.42</v>
      </c>
      <c r="F66" s="6">
        <v>17800</v>
      </c>
      <c r="G66" s="3">
        <f>SALESTABLE[[#This Row],[Value]]+SALESTABLE[[#This Row],[gst]]</f>
        <v>21004</v>
      </c>
      <c r="H66" s="23">
        <f>SALESTABLE[[#This Row],[Value]]*18%</f>
        <v>3204</v>
      </c>
      <c r="I66" s="23"/>
      <c r="J66" s="15"/>
    </row>
    <row r="67" spans="1:10" hidden="1" x14ac:dyDescent="0.25">
      <c r="A67" s="9">
        <v>45756</v>
      </c>
      <c r="B67" s="4" t="s">
        <v>68</v>
      </c>
      <c r="C67" s="5" t="s">
        <v>8</v>
      </c>
      <c r="D67" s="18">
        <v>26</v>
      </c>
      <c r="E67" s="22">
        <v>115</v>
      </c>
      <c r="F67" s="6">
        <v>53940</v>
      </c>
      <c r="G67" s="3">
        <f>SALESTABLE[[#This Row],[Value]]+SALESTABLE[[#This Row],[gst]]</f>
        <v>63649.2</v>
      </c>
      <c r="H67" s="23">
        <f>SALESTABLE[[#This Row],[Value]]*18%</f>
        <v>9709.1999999999989</v>
      </c>
      <c r="I67" s="23"/>
      <c r="J67" s="15"/>
    </row>
    <row r="68" spans="1:10" hidden="1" x14ac:dyDescent="0.25">
      <c r="A68" s="9">
        <v>45756</v>
      </c>
      <c r="B68" s="4" t="s">
        <v>68</v>
      </c>
      <c r="C68" s="5" t="s">
        <v>8</v>
      </c>
      <c r="D68" s="18">
        <v>420</v>
      </c>
      <c r="E68" s="22">
        <v>107</v>
      </c>
      <c r="F68" s="6">
        <v>44940</v>
      </c>
      <c r="G68" s="3">
        <f>SALESTABLE[[#This Row],[Value]]+SALESTABLE[[#This Row],[gst]]</f>
        <v>53029.2</v>
      </c>
      <c r="H68" s="23">
        <f>SALESTABLE[[#This Row],[Value]]*18%</f>
        <v>8089.2</v>
      </c>
      <c r="I68" s="23"/>
      <c r="J68" s="15"/>
    </row>
    <row r="69" spans="1:10" hidden="1" x14ac:dyDescent="0.25">
      <c r="A69" s="9">
        <v>45756</v>
      </c>
      <c r="B69" s="4" t="s">
        <v>96</v>
      </c>
      <c r="C69" s="5" t="s">
        <v>8</v>
      </c>
      <c r="D69" s="18">
        <v>534</v>
      </c>
      <c r="E69" s="22">
        <v>56.49</v>
      </c>
      <c r="F69" s="6">
        <v>30168</v>
      </c>
      <c r="G69" s="3">
        <f>SALESTABLE[[#This Row],[Value]]+SALESTABLE[[#This Row],[gst]]</f>
        <v>35598.239999999998</v>
      </c>
      <c r="H69" s="23">
        <f>SALESTABLE[[#This Row],[Value]]*18%</f>
        <v>5430.24</v>
      </c>
      <c r="I69" s="23"/>
      <c r="J69" s="15"/>
    </row>
    <row r="70" spans="1:10" hidden="1" x14ac:dyDescent="0.25">
      <c r="A70" s="9">
        <v>45756</v>
      </c>
      <c r="B70" s="4" t="s">
        <v>97</v>
      </c>
      <c r="C70" s="5" t="s">
        <v>8</v>
      </c>
      <c r="D70" s="18">
        <v>210</v>
      </c>
      <c r="E70" s="22">
        <v>110</v>
      </c>
      <c r="F70" s="6">
        <v>23100</v>
      </c>
      <c r="G70" s="3">
        <f>SALESTABLE[[#This Row],[Value]]+SALESTABLE[[#This Row],[gst]]</f>
        <v>27258</v>
      </c>
      <c r="H70" s="23">
        <f>SALESTABLE[[#This Row],[Value]]*18%</f>
        <v>4158</v>
      </c>
      <c r="I70" s="23"/>
      <c r="J70" s="15"/>
    </row>
    <row r="71" spans="1:10" hidden="1" x14ac:dyDescent="0.25">
      <c r="A71" s="9">
        <v>45756</v>
      </c>
      <c r="B71" s="4" t="s">
        <v>18</v>
      </c>
      <c r="C71" s="5" t="s">
        <v>8</v>
      </c>
      <c r="D71" s="18">
        <v>105</v>
      </c>
      <c r="E71" s="22">
        <v>100</v>
      </c>
      <c r="F71" s="6">
        <v>10500</v>
      </c>
      <c r="G71" s="3">
        <f>SALESTABLE[[#This Row],[Value]]+SALESTABLE[[#This Row],[gst]]</f>
        <v>12390</v>
      </c>
      <c r="H71" s="23">
        <f>SALESTABLE[[#This Row],[Value]]*18%</f>
        <v>1890</v>
      </c>
      <c r="I71" s="23"/>
      <c r="J71" s="15"/>
    </row>
    <row r="72" spans="1:10" hidden="1" x14ac:dyDescent="0.25">
      <c r="A72" s="9">
        <v>45756</v>
      </c>
      <c r="B72" s="4" t="s">
        <v>63</v>
      </c>
      <c r="C72" s="5" t="s">
        <v>8</v>
      </c>
      <c r="D72" s="18">
        <v>5</v>
      </c>
      <c r="E72" s="22">
        <v>195</v>
      </c>
      <c r="F72" s="6">
        <v>975</v>
      </c>
      <c r="G72" s="3">
        <f>SALESTABLE[[#This Row],[Value]]+SALESTABLE[[#This Row],[gst]]</f>
        <v>1150.5</v>
      </c>
      <c r="H72" s="23">
        <f>SALESTABLE[[#This Row],[Value]]*18%</f>
        <v>175.5</v>
      </c>
      <c r="I72" s="23"/>
      <c r="J72" s="15"/>
    </row>
    <row r="73" spans="1:10" hidden="1" x14ac:dyDescent="0.25">
      <c r="A73" s="9">
        <v>45756</v>
      </c>
      <c r="B73" t="s">
        <v>100</v>
      </c>
      <c r="C73" s="5" t="s">
        <v>8</v>
      </c>
      <c r="D73" s="18">
        <v>26</v>
      </c>
      <c r="E73" s="22">
        <v>107</v>
      </c>
      <c r="F73" s="6">
        <v>2782</v>
      </c>
      <c r="G73" s="3">
        <f>SALESTABLE[[#This Row],[Value]]+SALESTABLE[[#This Row],[gst]]</f>
        <v>3282.76</v>
      </c>
      <c r="H73" s="23">
        <f>SALESTABLE[[#This Row],[Value]]*18%</f>
        <v>500.76</v>
      </c>
      <c r="I73" s="23"/>
      <c r="J73" s="15"/>
    </row>
    <row r="74" spans="1:10" hidden="1" x14ac:dyDescent="0.25">
      <c r="A74" s="9">
        <v>45756</v>
      </c>
      <c r="B74" s="4" t="s">
        <v>96</v>
      </c>
      <c r="C74" s="5" t="s">
        <v>8</v>
      </c>
      <c r="D74" s="18">
        <v>26</v>
      </c>
      <c r="E74" s="22">
        <v>120</v>
      </c>
      <c r="F74" s="6">
        <v>3120</v>
      </c>
      <c r="G74" s="3">
        <f>SALESTABLE[[#This Row],[Value]]+SALESTABLE[[#This Row],[gst]]</f>
        <v>3681.6</v>
      </c>
      <c r="H74" s="23">
        <f>SALESTABLE[[#This Row],[Value]]*18%</f>
        <v>561.6</v>
      </c>
      <c r="I74" s="23"/>
      <c r="J74" s="15"/>
    </row>
    <row r="75" spans="1:10" hidden="1" x14ac:dyDescent="0.25">
      <c r="A75" s="9">
        <v>45756</v>
      </c>
      <c r="B75" s="4" t="s">
        <v>53</v>
      </c>
      <c r="C75" s="5" t="s">
        <v>8</v>
      </c>
      <c r="D75" s="18">
        <v>20</v>
      </c>
      <c r="E75" s="22">
        <v>335</v>
      </c>
      <c r="F75" s="6">
        <v>6700</v>
      </c>
      <c r="G75" s="3">
        <f>SALESTABLE[[#This Row],[Value]]+SALESTABLE[[#This Row],[gst]]</f>
        <v>7906</v>
      </c>
      <c r="H75" s="23">
        <f>SALESTABLE[[#This Row],[Value]]*18%</f>
        <v>1206</v>
      </c>
      <c r="I75" s="23"/>
      <c r="J75" s="15"/>
    </row>
    <row r="76" spans="1:10" hidden="1" x14ac:dyDescent="0.25">
      <c r="A76" s="9">
        <v>45758</v>
      </c>
      <c r="B76" s="4" t="s">
        <v>95</v>
      </c>
      <c r="C76" s="5" t="s">
        <v>8</v>
      </c>
      <c r="D76" s="18">
        <v>265</v>
      </c>
      <c r="E76" s="22">
        <v>55</v>
      </c>
      <c r="F76" s="6">
        <v>14575</v>
      </c>
      <c r="G76" s="3">
        <f>SALESTABLE[[#This Row],[Value]]+SALESTABLE[[#This Row],[gst]]</f>
        <v>17198.5</v>
      </c>
      <c r="H76" s="23">
        <f>SALESTABLE[[#This Row],[Value]]*18%</f>
        <v>2623.5</v>
      </c>
      <c r="I76" s="23"/>
      <c r="J76" s="15"/>
    </row>
    <row r="77" spans="1:10" hidden="1" x14ac:dyDescent="0.25">
      <c r="A77" s="9">
        <v>45758</v>
      </c>
      <c r="B77" s="4" t="s">
        <v>94</v>
      </c>
      <c r="C77" s="5" t="s">
        <v>8</v>
      </c>
      <c r="D77" s="18">
        <v>210</v>
      </c>
      <c r="E77" s="22">
        <v>86</v>
      </c>
      <c r="F77" s="6">
        <v>18060</v>
      </c>
      <c r="G77" s="3">
        <f>SALESTABLE[[#This Row],[Value]]+SALESTABLE[[#This Row],[gst]]</f>
        <v>21310.799999999999</v>
      </c>
      <c r="H77" s="23">
        <f>SALESTABLE[[#This Row],[Value]]*18%</f>
        <v>3250.7999999999997</v>
      </c>
      <c r="I77" s="23"/>
      <c r="J77" s="15"/>
    </row>
    <row r="78" spans="1:10" hidden="1" x14ac:dyDescent="0.25">
      <c r="A78" s="9">
        <v>45758</v>
      </c>
      <c r="B78" s="4" t="s">
        <v>67</v>
      </c>
      <c r="C78" s="5" t="s">
        <v>8</v>
      </c>
      <c r="D78" s="18">
        <v>26</v>
      </c>
      <c r="E78" s="22">
        <v>120</v>
      </c>
      <c r="F78" s="6">
        <v>3120</v>
      </c>
      <c r="G78" s="3">
        <f>SALESTABLE[[#This Row],[Value]]+SALESTABLE[[#This Row],[gst]]</f>
        <v>3681.6</v>
      </c>
      <c r="H78" s="23">
        <f>SALESTABLE[[#This Row],[Value]]*18%</f>
        <v>561.6</v>
      </c>
      <c r="I78" s="23"/>
      <c r="J78" s="15"/>
    </row>
    <row r="79" spans="1:10" hidden="1" x14ac:dyDescent="0.25">
      <c r="A79" s="9">
        <v>45758</v>
      </c>
      <c r="B79" s="4" t="s">
        <v>97</v>
      </c>
      <c r="C79" s="5" t="s">
        <v>8</v>
      </c>
      <c r="D79" s="18">
        <v>210</v>
      </c>
      <c r="E79" s="22">
        <v>110</v>
      </c>
      <c r="F79" s="6">
        <v>23100</v>
      </c>
      <c r="G79" s="3">
        <f>SALESTABLE[[#This Row],[Value]]+SALESTABLE[[#This Row],[gst]]</f>
        <v>27258</v>
      </c>
      <c r="H79" s="23">
        <f>SALESTABLE[[#This Row],[Value]]*18%</f>
        <v>4158</v>
      </c>
      <c r="I79" s="23"/>
      <c r="J79" s="15"/>
    </row>
    <row r="80" spans="1:10" hidden="1" x14ac:dyDescent="0.25">
      <c r="A80" s="9">
        <v>45758</v>
      </c>
      <c r="B80" t="s">
        <v>100</v>
      </c>
      <c r="C80" s="5" t="s">
        <v>8</v>
      </c>
      <c r="D80" s="18">
        <v>35</v>
      </c>
      <c r="E80" s="22">
        <v>90</v>
      </c>
      <c r="F80" s="6">
        <v>3150</v>
      </c>
      <c r="G80" s="3">
        <f>SALESTABLE[[#This Row],[Value]]+SALESTABLE[[#This Row],[gst]]</f>
        <v>3717</v>
      </c>
      <c r="H80" s="23">
        <f>SALESTABLE[[#This Row],[Value]]*18%</f>
        <v>567</v>
      </c>
      <c r="I80" s="23"/>
      <c r="J80" s="15"/>
    </row>
    <row r="81" spans="1:10" hidden="1" x14ac:dyDescent="0.25">
      <c r="A81" s="9">
        <v>45758</v>
      </c>
      <c r="B81" t="s">
        <v>100</v>
      </c>
      <c r="C81" s="5" t="s">
        <v>8</v>
      </c>
      <c r="D81" s="18">
        <v>52</v>
      </c>
      <c r="E81" s="22">
        <v>79</v>
      </c>
      <c r="F81" s="6">
        <v>4108</v>
      </c>
      <c r="G81" s="3">
        <f>SALESTABLE[[#This Row],[Value]]+SALESTABLE[[#This Row],[gst]]</f>
        <v>4847.4399999999996</v>
      </c>
      <c r="H81" s="23">
        <f>SALESTABLE[[#This Row],[Value]]*18%</f>
        <v>739.43999999999994</v>
      </c>
      <c r="I81" s="23"/>
      <c r="J81" s="15"/>
    </row>
    <row r="82" spans="1:10" hidden="1" x14ac:dyDescent="0.25">
      <c r="A82" s="9">
        <v>45758</v>
      </c>
      <c r="B82" s="4" t="s">
        <v>57</v>
      </c>
      <c r="C82" s="5" t="s">
        <v>8</v>
      </c>
      <c r="D82" s="18">
        <v>25</v>
      </c>
      <c r="E82" s="22">
        <v>85</v>
      </c>
      <c r="F82" s="6">
        <v>2125</v>
      </c>
      <c r="G82" s="3">
        <f>SALESTABLE[[#This Row],[Value]]+SALESTABLE[[#This Row],[gst]]</f>
        <v>2507.5</v>
      </c>
      <c r="H82" s="23">
        <f>SALESTABLE[[#This Row],[Value]]*18%</f>
        <v>382.5</v>
      </c>
      <c r="I82" s="23"/>
      <c r="J82" s="15"/>
    </row>
    <row r="83" spans="1:10" hidden="1" x14ac:dyDescent="0.25">
      <c r="A83" s="9">
        <v>45759</v>
      </c>
      <c r="B83" t="s">
        <v>100</v>
      </c>
      <c r="C83" s="5" t="s">
        <v>8</v>
      </c>
      <c r="D83" s="18">
        <v>20</v>
      </c>
      <c r="E83" s="22">
        <v>90</v>
      </c>
      <c r="F83" s="6">
        <v>1800</v>
      </c>
      <c r="G83" s="3">
        <f>SALESTABLE[[#This Row],[Value]]+SALESTABLE[[#This Row],[gst]]</f>
        <v>2124</v>
      </c>
      <c r="H83" s="23">
        <f>SALESTABLE[[#This Row],[Value]]*18%</f>
        <v>324</v>
      </c>
      <c r="I83" s="23"/>
      <c r="J83" s="15"/>
    </row>
    <row r="84" spans="1:10" hidden="1" x14ac:dyDescent="0.25">
      <c r="A84" s="9">
        <v>45759</v>
      </c>
      <c r="B84" s="4" t="s">
        <v>86</v>
      </c>
      <c r="C84" s="5" t="s">
        <v>8</v>
      </c>
      <c r="D84" s="18">
        <v>210</v>
      </c>
      <c r="E84" s="22">
        <v>80</v>
      </c>
      <c r="F84" s="6">
        <v>16800</v>
      </c>
      <c r="G84" s="3">
        <f>SALESTABLE[[#This Row],[Value]]+SALESTABLE[[#This Row],[gst]]</f>
        <v>19824</v>
      </c>
      <c r="H84" s="23">
        <f>SALESTABLE[[#This Row],[Value]]*18%</f>
        <v>3024</v>
      </c>
      <c r="I84" s="23"/>
      <c r="J84" s="15"/>
    </row>
    <row r="85" spans="1:10" hidden="1" x14ac:dyDescent="0.25">
      <c r="A85" s="9">
        <v>45759</v>
      </c>
      <c r="B85" s="4" t="s">
        <v>96</v>
      </c>
      <c r="C85" s="5" t="s">
        <v>8</v>
      </c>
      <c r="D85" s="18">
        <v>420</v>
      </c>
      <c r="E85" s="22">
        <v>55</v>
      </c>
      <c r="F85" s="6">
        <v>23100</v>
      </c>
      <c r="G85" s="3">
        <f>SALESTABLE[[#This Row],[Value]]+SALESTABLE[[#This Row],[gst]]</f>
        <v>27258</v>
      </c>
      <c r="H85" s="23">
        <f>SALESTABLE[[#This Row],[Value]]*18%</f>
        <v>4158</v>
      </c>
      <c r="I85" s="23"/>
      <c r="J85" s="15"/>
    </row>
    <row r="86" spans="1:10" hidden="1" x14ac:dyDescent="0.25">
      <c r="A86" s="9">
        <v>45759</v>
      </c>
      <c r="B86" s="4" t="s">
        <v>11</v>
      </c>
      <c r="C86" s="5" t="s">
        <v>8</v>
      </c>
      <c r="D86" s="18">
        <v>105</v>
      </c>
      <c r="E86" s="22">
        <v>75</v>
      </c>
      <c r="F86" s="6">
        <v>7875</v>
      </c>
      <c r="G86" s="3">
        <f>SALESTABLE[[#This Row],[Value]]+SALESTABLE[[#This Row],[gst]]</f>
        <v>9292.5</v>
      </c>
      <c r="H86" s="23">
        <f>SALESTABLE[[#This Row],[Value]]*18%</f>
        <v>1417.5</v>
      </c>
      <c r="I86" s="23"/>
      <c r="J86" s="15"/>
    </row>
    <row r="87" spans="1:10" hidden="1" x14ac:dyDescent="0.25">
      <c r="A87" s="9">
        <v>45759</v>
      </c>
      <c r="B87" t="s">
        <v>100</v>
      </c>
      <c r="C87" s="5" t="s">
        <v>8</v>
      </c>
      <c r="D87" s="18">
        <v>26</v>
      </c>
      <c r="E87" s="22">
        <v>125</v>
      </c>
      <c r="F87" s="6">
        <v>3250</v>
      </c>
      <c r="G87" s="3">
        <f>SALESTABLE[[#This Row],[Value]]+SALESTABLE[[#This Row],[gst]]</f>
        <v>3835</v>
      </c>
      <c r="H87" s="23">
        <f>SALESTABLE[[#This Row],[Value]]*18%</f>
        <v>585</v>
      </c>
      <c r="I87" s="23"/>
      <c r="J87" s="15"/>
    </row>
    <row r="88" spans="1:10" hidden="1" x14ac:dyDescent="0.25">
      <c r="A88" s="9">
        <v>45759</v>
      </c>
      <c r="B88" s="4" t="s">
        <v>96</v>
      </c>
      <c r="C88" s="5" t="s">
        <v>8</v>
      </c>
      <c r="D88" s="18">
        <v>78</v>
      </c>
      <c r="E88" s="22">
        <v>99.33</v>
      </c>
      <c r="F88" s="6">
        <v>7748</v>
      </c>
      <c r="G88" s="3">
        <f>SALESTABLE[[#This Row],[Value]]+SALESTABLE[[#This Row],[gst]]</f>
        <v>9142.64</v>
      </c>
      <c r="H88" s="23">
        <f>SALESTABLE[[#This Row],[Value]]*18%</f>
        <v>1394.6399999999999</v>
      </c>
      <c r="I88" s="23"/>
      <c r="J88" s="15"/>
    </row>
    <row r="89" spans="1:10" hidden="1" x14ac:dyDescent="0.25">
      <c r="A89" s="9">
        <v>45759</v>
      </c>
      <c r="B89" s="4" t="s">
        <v>19</v>
      </c>
      <c r="C89" s="5" t="s">
        <v>8</v>
      </c>
      <c r="D89" s="18">
        <v>102</v>
      </c>
      <c r="E89" s="22">
        <v>87.45</v>
      </c>
      <c r="F89" s="6">
        <v>8920</v>
      </c>
      <c r="G89" s="3">
        <f>SALESTABLE[[#This Row],[Value]]+SALESTABLE[[#This Row],[gst]]</f>
        <v>10525.6</v>
      </c>
      <c r="H89" s="23">
        <f>SALESTABLE[[#This Row],[Value]]*18%</f>
        <v>1605.6</v>
      </c>
      <c r="I89" s="23"/>
      <c r="J89" s="15"/>
    </row>
    <row r="90" spans="1:10" hidden="1" x14ac:dyDescent="0.25">
      <c r="A90" s="9">
        <v>45759</v>
      </c>
      <c r="B90" s="4" t="s">
        <v>20</v>
      </c>
      <c r="C90" s="5" t="s">
        <v>8</v>
      </c>
      <c r="D90" s="18">
        <v>26</v>
      </c>
      <c r="E90" s="22">
        <v>120</v>
      </c>
      <c r="F90" s="6">
        <v>3120</v>
      </c>
      <c r="G90" s="3">
        <f>SALESTABLE[[#This Row],[Value]]+SALESTABLE[[#This Row],[gst]]</f>
        <v>3681.6</v>
      </c>
      <c r="H90" s="23">
        <f>SALESTABLE[[#This Row],[Value]]*18%</f>
        <v>561.6</v>
      </c>
      <c r="I90" s="23"/>
      <c r="J90" s="15"/>
    </row>
    <row r="91" spans="1:10" hidden="1" x14ac:dyDescent="0.25">
      <c r="A91" s="9">
        <v>45759</v>
      </c>
      <c r="B91" t="s">
        <v>100</v>
      </c>
      <c r="C91" s="5" t="s">
        <v>8</v>
      </c>
      <c r="D91" s="18">
        <v>262</v>
      </c>
      <c r="E91" s="22">
        <v>119.58</v>
      </c>
      <c r="F91" s="6">
        <v>31330</v>
      </c>
      <c r="G91" s="3">
        <f>SALESTABLE[[#This Row],[Value]]+SALESTABLE[[#This Row],[gst]]</f>
        <v>36969.4</v>
      </c>
      <c r="H91" s="23">
        <f>SALESTABLE[[#This Row],[Value]]*18%</f>
        <v>5639.4</v>
      </c>
      <c r="I91" s="23"/>
      <c r="J91" s="15"/>
    </row>
    <row r="92" spans="1:10" hidden="1" x14ac:dyDescent="0.25">
      <c r="A92" s="9">
        <v>45760</v>
      </c>
      <c r="B92" t="s">
        <v>100</v>
      </c>
      <c r="C92" s="5" t="s">
        <v>8</v>
      </c>
      <c r="D92" s="18">
        <v>630</v>
      </c>
      <c r="E92" s="22">
        <v>125</v>
      </c>
      <c r="F92" s="6">
        <v>78750</v>
      </c>
      <c r="G92" s="3">
        <f>SALESTABLE[[#This Row],[Value]]+SALESTABLE[[#This Row],[gst]]</f>
        <v>92925</v>
      </c>
      <c r="H92" s="23">
        <f>SALESTABLE[[#This Row],[Value]]*18%</f>
        <v>14175</v>
      </c>
      <c r="I92" s="23"/>
      <c r="J92" s="15"/>
    </row>
    <row r="93" spans="1:10" hidden="1" x14ac:dyDescent="0.25">
      <c r="A93" s="9">
        <v>45760</v>
      </c>
      <c r="B93" s="4" t="s">
        <v>63</v>
      </c>
      <c r="C93" s="5" t="s">
        <v>8</v>
      </c>
      <c r="D93" s="18">
        <v>26</v>
      </c>
      <c r="E93" s="22">
        <v>115</v>
      </c>
      <c r="F93" s="6">
        <v>231659.85</v>
      </c>
      <c r="G93" s="3">
        <f>SALESTABLE[[#This Row],[Value]]+SALESTABLE[[#This Row],[gst]]</f>
        <v>273358.62300000002</v>
      </c>
      <c r="H93" s="23">
        <f>SALESTABLE[[#This Row],[Value]]*18%</f>
        <v>41698.773000000001</v>
      </c>
      <c r="I93" s="23"/>
      <c r="J93" s="15"/>
    </row>
    <row r="94" spans="1:10" hidden="1" x14ac:dyDescent="0.25">
      <c r="A94" s="9">
        <v>45760</v>
      </c>
      <c r="B94" s="4" t="s">
        <v>97</v>
      </c>
      <c r="C94" s="5" t="s">
        <v>8</v>
      </c>
      <c r="D94" s="18">
        <v>5</v>
      </c>
      <c r="E94" s="22">
        <v>120</v>
      </c>
      <c r="F94" s="6">
        <v>600</v>
      </c>
      <c r="G94" s="3">
        <f>SALESTABLE[[#This Row],[Value]]+SALESTABLE[[#This Row],[gst]]</f>
        <v>708</v>
      </c>
      <c r="H94" s="23">
        <f>SALESTABLE[[#This Row],[Value]]*18%</f>
        <v>108</v>
      </c>
      <c r="I94" s="23"/>
      <c r="J94" s="15"/>
    </row>
    <row r="95" spans="1:10" hidden="1" x14ac:dyDescent="0.25">
      <c r="A95" s="9">
        <v>45760</v>
      </c>
      <c r="B95" t="s">
        <v>100</v>
      </c>
      <c r="C95" s="5" t="s">
        <v>8</v>
      </c>
      <c r="D95" s="18">
        <v>10</v>
      </c>
      <c r="E95" s="22">
        <v>105</v>
      </c>
      <c r="F95" s="6">
        <v>1050</v>
      </c>
      <c r="G95" s="3">
        <f>SALESTABLE[[#This Row],[Value]]+SALESTABLE[[#This Row],[gst]]</f>
        <v>1239</v>
      </c>
      <c r="H95" s="23">
        <f>SALESTABLE[[#This Row],[Value]]*18%</f>
        <v>189</v>
      </c>
      <c r="I95" s="23"/>
      <c r="J95" s="15"/>
    </row>
    <row r="96" spans="1:10" hidden="1" x14ac:dyDescent="0.25">
      <c r="A96" s="9">
        <v>45760</v>
      </c>
      <c r="B96" s="4" t="s">
        <v>63</v>
      </c>
      <c r="C96" s="5" t="s">
        <v>8</v>
      </c>
      <c r="D96" s="18">
        <v>26</v>
      </c>
      <c r="E96" s="22">
        <v>115</v>
      </c>
      <c r="F96" s="6">
        <v>115969.2</v>
      </c>
      <c r="G96" s="3">
        <f>SALESTABLE[[#This Row],[Value]]+SALESTABLE[[#This Row],[gst]]</f>
        <v>136843.65599999999</v>
      </c>
      <c r="H96" s="23">
        <f>SALESTABLE[[#This Row],[Value]]*18%</f>
        <v>20874.455999999998</v>
      </c>
      <c r="I96" s="23"/>
      <c r="J96" s="15"/>
    </row>
    <row r="97" spans="1:10" hidden="1" x14ac:dyDescent="0.25">
      <c r="A97" s="9">
        <v>45760</v>
      </c>
      <c r="B97" s="4" t="s">
        <v>42</v>
      </c>
      <c r="C97" s="5" t="s">
        <v>8</v>
      </c>
      <c r="D97" s="18">
        <v>262</v>
      </c>
      <c r="E97" s="22">
        <v>95.95</v>
      </c>
      <c r="F97" s="6">
        <v>25140</v>
      </c>
      <c r="G97" s="3">
        <f>SALESTABLE[[#This Row],[Value]]+SALESTABLE[[#This Row],[gst]]</f>
        <v>29665.200000000001</v>
      </c>
      <c r="H97" s="23">
        <f>SALESTABLE[[#This Row],[Value]]*18%</f>
        <v>4525.2</v>
      </c>
      <c r="I97" s="23"/>
      <c r="J97" s="15"/>
    </row>
    <row r="98" spans="1:10" hidden="1" x14ac:dyDescent="0.25">
      <c r="A98" s="9">
        <v>45760</v>
      </c>
      <c r="B98" t="s">
        <v>100</v>
      </c>
      <c r="C98" s="5" t="s">
        <v>8</v>
      </c>
      <c r="D98" s="18">
        <v>50</v>
      </c>
      <c r="E98" s="22">
        <v>210</v>
      </c>
      <c r="F98" s="6">
        <v>10500</v>
      </c>
      <c r="G98" s="3">
        <f>SALESTABLE[[#This Row],[Value]]+SALESTABLE[[#This Row],[gst]]</f>
        <v>12390</v>
      </c>
      <c r="H98" s="23">
        <f>SALESTABLE[[#This Row],[Value]]*18%</f>
        <v>1890</v>
      </c>
      <c r="I98" s="23"/>
      <c r="J98" s="15"/>
    </row>
    <row r="99" spans="1:10" hidden="1" x14ac:dyDescent="0.25">
      <c r="A99" s="9">
        <v>45760</v>
      </c>
      <c r="B99" s="4" t="s">
        <v>14</v>
      </c>
      <c r="C99" s="5" t="s">
        <v>8</v>
      </c>
      <c r="D99" s="18">
        <v>26</v>
      </c>
      <c r="E99" s="22">
        <v>108</v>
      </c>
      <c r="F99" s="6">
        <v>2808</v>
      </c>
      <c r="G99" s="3">
        <f>SALESTABLE[[#This Row],[Value]]+SALESTABLE[[#This Row],[gst]]</f>
        <v>3313.44</v>
      </c>
      <c r="H99" s="23">
        <f>SALESTABLE[[#This Row],[Value]]*18%</f>
        <v>505.44</v>
      </c>
      <c r="I99" s="23"/>
      <c r="J99" s="15"/>
    </row>
    <row r="100" spans="1:10" hidden="1" x14ac:dyDescent="0.25">
      <c r="A100" s="9">
        <v>45761</v>
      </c>
      <c r="B100" s="4" t="s">
        <v>77</v>
      </c>
      <c r="C100" s="5" t="s">
        <v>8</v>
      </c>
      <c r="D100" s="18">
        <v>5</v>
      </c>
      <c r="E100" s="22">
        <v>130</v>
      </c>
      <c r="F100" s="6">
        <v>650</v>
      </c>
      <c r="G100" s="3">
        <f>SALESTABLE[[#This Row],[Value]]+SALESTABLE[[#This Row],[gst]]</f>
        <v>767</v>
      </c>
      <c r="H100" s="23">
        <f>SALESTABLE[[#This Row],[Value]]*18%</f>
        <v>117</v>
      </c>
      <c r="I100" s="23"/>
      <c r="J100" s="15"/>
    </row>
    <row r="101" spans="1:10" hidden="1" x14ac:dyDescent="0.25">
      <c r="A101" s="9">
        <v>45761</v>
      </c>
      <c r="B101" t="s">
        <v>99</v>
      </c>
      <c r="C101" s="5" t="s">
        <v>8</v>
      </c>
      <c r="D101" s="18">
        <v>2</v>
      </c>
      <c r="E101" s="22">
        <v>120</v>
      </c>
      <c r="F101" s="6">
        <v>240</v>
      </c>
      <c r="G101" s="3">
        <f>SALESTABLE[[#This Row],[Value]]+SALESTABLE[[#This Row],[gst]]</f>
        <v>283.2</v>
      </c>
      <c r="H101" s="23">
        <f>SALESTABLE[[#This Row],[Value]]*18%</f>
        <v>43.199999999999996</v>
      </c>
      <c r="I101" s="23"/>
      <c r="J101" s="15"/>
    </row>
    <row r="102" spans="1:10" hidden="1" x14ac:dyDescent="0.25">
      <c r="A102" s="9">
        <v>45761</v>
      </c>
      <c r="B102" s="4" t="s">
        <v>95</v>
      </c>
      <c r="C102" s="5" t="s">
        <v>8</v>
      </c>
      <c r="D102" s="18">
        <v>78</v>
      </c>
      <c r="E102" s="22">
        <v>109</v>
      </c>
      <c r="F102" s="6">
        <v>8502</v>
      </c>
      <c r="G102" s="3">
        <f>SALESTABLE[[#This Row],[Value]]+SALESTABLE[[#This Row],[gst]]</f>
        <v>10032.36</v>
      </c>
      <c r="H102" s="23">
        <f>SALESTABLE[[#This Row],[Value]]*18%</f>
        <v>1530.36</v>
      </c>
      <c r="I102" s="23"/>
      <c r="J102" s="15"/>
    </row>
    <row r="103" spans="1:10" hidden="1" x14ac:dyDescent="0.25">
      <c r="A103" s="9">
        <v>45761</v>
      </c>
      <c r="B103" s="4" t="s">
        <v>46</v>
      </c>
      <c r="C103" s="5" t="s">
        <v>8</v>
      </c>
      <c r="D103" s="18">
        <v>26</v>
      </c>
      <c r="E103" s="22">
        <v>165</v>
      </c>
      <c r="F103" s="6">
        <v>4290</v>
      </c>
      <c r="G103" s="3">
        <f>SALESTABLE[[#This Row],[Value]]+SALESTABLE[[#This Row],[gst]]</f>
        <v>5062.2</v>
      </c>
      <c r="H103" s="23">
        <f>SALESTABLE[[#This Row],[Value]]*18%</f>
        <v>772.19999999999993</v>
      </c>
      <c r="I103" s="23"/>
      <c r="J103" s="15"/>
    </row>
    <row r="104" spans="1:10" hidden="1" x14ac:dyDescent="0.25">
      <c r="A104" s="9">
        <v>45761</v>
      </c>
      <c r="B104" s="4" t="s">
        <v>51</v>
      </c>
      <c r="C104" s="5" t="s">
        <v>8</v>
      </c>
      <c r="D104" s="18">
        <v>26</v>
      </c>
      <c r="E104" s="22">
        <v>115</v>
      </c>
      <c r="F104" s="6">
        <v>11020</v>
      </c>
      <c r="G104" s="3">
        <f>SALESTABLE[[#This Row],[Value]]+SALESTABLE[[#This Row],[gst]]</f>
        <v>13003.6</v>
      </c>
      <c r="H104" s="23">
        <f>SALESTABLE[[#This Row],[Value]]*18%</f>
        <v>1983.6</v>
      </c>
      <c r="I104" s="23"/>
      <c r="J104" s="15"/>
    </row>
    <row r="105" spans="1:10" hidden="1" x14ac:dyDescent="0.25">
      <c r="A105" s="9">
        <v>45761</v>
      </c>
      <c r="B105" s="4" t="s">
        <v>96</v>
      </c>
      <c r="C105" s="5" t="s">
        <v>8</v>
      </c>
      <c r="D105" s="18">
        <v>52</v>
      </c>
      <c r="E105" s="22">
        <v>107.5</v>
      </c>
      <c r="F105" s="6">
        <v>5590</v>
      </c>
      <c r="G105" s="3">
        <f>SALESTABLE[[#This Row],[Value]]+SALESTABLE[[#This Row],[gst]]</f>
        <v>6596.2</v>
      </c>
      <c r="H105" s="23">
        <f>SALESTABLE[[#This Row],[Value]]*18%</f>
        <v>1006.1999999999999</v>
      </c>
      <c r="I105" s="23"/>
      <c r="J105" s="15"/>
    </row>
    <row r="106" spans="1:10" hidden="1" x14ac:dyDescent="0.25">
      <c r="A106" s="9">
        <v>45761</v>
      </c>
      <c r="B106" s="4" t="s">
        <v>96</v>
      </c>
      <c r="C106" s="5" t="s">
        <v>8</v>
      </c>
      <c r="D106" s="18">
        <v>105</v>
      </c>
      <c r="E106" s="22">
        <v>92.33</v>
      </c>
      <c r="F106" s="6">
        <v>9695</v>
      </c>
      <c r="G106" s="3">
        <f>SALESTABLE[[#This Row],[Value]]+SALESTABLE[[#This Row],[gst]]</f>
        <v>11440.1</v>
      </c>
      <c r="H106" s="23">
        <f>SALESTABLE[[#This Row],[Value]]*18%</f>
        <v>1745.1</v>
      </c>
      <c r="I106" s="23"/>
      <c r="J106" s="15"/>
    </row>
    <row r="107" spans="1:10" hidden="1" x14ac:dyDescent="0.25">
      <c r="A107" s="9">
        <v>45762</v>
      </c>
      <c r="B107" s="4" t="s">
        <v>95</v>
      </c>
      <c r="C107" s="5" t="s">
        <v>8</v>
      </c>
      <c r="D107" s="18">
        <v>220</v>
      </c>
      <c r="E107" s="22">
        <v>55</v>
      </c>
      <c r="F107" s="6">
        <v>12100</v>
      </c>
      <c r="G107" s="3">
        <f>SALESTABLE[[#This Row],[Value]]+SALESTABLE[[#This Row],[gst]]</f>
        <v>14278</v>
      </c>
      <c r="H107" s="23">
        <f>SALESTABLE[[#This Row],[Value]]*18%</f>
        <v>2178</v>
      </c>
      <c r="I107" s="23"/>
      <c r="J107" s="15"/>
    </row>
    <row r="108" spans="1:10" hidden="1" x14ac:dyDescent="0.25">
      <c r="A108" s="9">
        <v>45762</v>
      </c>
      <c r="B108" t="s">
        <v>99</v>
      </c>
      <c r="C108" s="5" t="s">
        <v>8</v>
      </c>
      <c r="D108" s="18">
        <v>52</v>
      </c>
      <c r="E108" s="22">
        <v>134</v>
      </c>
      <c r="F108" s="6">
        <v>6968</v>
      </c>
      <c r="G108" s="3">
        <f>SALESTABLE[[#This Row],[Value]]+SALESTABLE[[#This Row],[gst]]</f>
        <v>8222.24</v>
      </c>
      <c r="H108" s="23">
        <f>SALESTABLE[[#This Row],[Value]]*18%</f>
        <v>1254.24</v>
      </c>
      <c r="I108" s="23"/>
      <c r="J108" s="15"/>
    </row>
    <row r="109" spans="1:10" hidden="1" x14ac:dyDescent="0.25">
      <c r="A109" s="9">
        <v>45762</v>
      </c>
      <c r="B109" s="4" t="s">
        <v>96</v>
      </c>
      <c r="C109" s="5" t="s">
        <v>8</v>
      </c>
      <c r="D109" s="18">
        <v>52</v>
      </c>
      <c r="E109" s="22">
        <v>125</v>
      </c>
      <c r="F109" s="6">
        <v>6500</v>
      </c>
      <c r="G109" s="3">
        <f>SALESTABLE[[#This Row],[Value]]+SALESTABLE[[#This Row],[gst]]</f>
        <v>7670</v>
      </c>
      <c r="H109" s="23">
        <f>SALESTABLE[[#This Row],[Value]]*18%</f>
        <v>1170</v>
      </c>
      <c r="I109" s="23"/>
      <c r="J109" s="15"/>
    </row>
    <row r="110" spans="1:10" hidden="1" x14ac:dyDescent="0.25">
      <c r="A110" s="9">
        <v>45762</v>
      </c>
      <c r="B110" s="4" t="s">
        <v>85</v>
      </c>
      <c r="C110" s="5" t="s">
        <v>8</v>
      </c>
      <c r="D110" s="18">
        <v>5</v>
      </c>
      <c r="E110" s="22">
        <v>60</v>
      </c>
      <c r="F110" s="6">
        <v>300</v>
      </c>
      <c r="G110" s="3">
        <f>SALESTABLE[[#This Row],[Value]]+SALESTABLE[[#This Row],[gst]]</f>
        <v>354</v>
      </c>
      <c r="H110" s="23">
        <f>SALESTABLE[[#This Row],[Value]]*18%</f>
        <v>54</v>
      </c>
      <c r="I110" s="23"/>
      <c r="J110" s="15"/>
    </row>
    <row r="111" spans="1:10" hidden="1" x14ac:dyDescent="0.25">
      <c r="A111" s="9">
        <v>45762</v>
      </c>
      <c r="B111" s="4" t="s">
        <v>53</v>
      </c>
      <c r="C111" s="5" t="s">
        <v>8</v>
      </c>
      <c r="D111" s="18">
        <v>210</v>
      </c>
      <c r="E111" s="22">
        <v>76</v>
      </c>
      <c r="F111" s="6">
        <v>15960</v>
      </c>
      <c r="G111" s="3">
        <f>SALESTABLE[[#This Row],[Value]]+SALESTABLE[[#This Row],[gst]]</f>
        <v>18832.8</v>
      </c>
      <c r="H111" s="23">
        <f>SALESTABLE[[#This Row],[Value]]*18%</f>
        <v>2872.7999999999997</v>
      </c>
      <c r="I111" s="23"/>
      <c r="J111" s="15"/>
    </row>
    <row r="112" spans="1:10" hidden="1" x14ac:dyDescent="0.25">
      <c r="A112" s="9">
        <v>45762</v>
      </c>
      <c r="B112" s="4" t="s">
        <v>44</v>
      </c>
      <c r="C112" s="5" t="s">
        <v>8</v>
      </c>
      <c r="D112" s="18">
        <v>156</v>
      </c>
      <c r="E112" s="22">
        <v>109</v>
      </c>
      <c r="F112" s="6">
        <v>17004</v>
      </c>
      <c r="G112" s="3">
        <f>SALESTABLE[[#This Row],[Value]]+SALESTABLE[[#This Row],[gst]]</f>
        <v>20064.72</v>
      </c>
      <c r="H112" s="23">
        <f>SALESTABLE[[#This Row],[Value]]*18%</f>
        <v>3060.72</v>
      </c>
      <c r="I112" s="23"/>
      <c r="J112" s="15"/>
    </row>
    <row r="113" spans="1:10" hidden="1" x14ac:dyDescent="0.25">
      <c r="A113" s="9">
        <v>45763</v>
      </c>
      <c r="B113" s="4" t="s">
        <v>43</v>
      </c>
      <c r="C113" s="5" t="s">
        <v>8</v>
      </c>
      <c r="D113" s="18">
        <v>52</v>
      </c>
      <c r="E113" s="22">
        <v>105</v>
      </c>
      <c r="F113" s="6">
        <v>5460</v>
      </c>
      <c r="G113" s="3">
        <f>SALESTABLE[[#This Row],[Value]]+SALESTABLE[[#This Row],[gst]]</f>
        <v>6442.8</v>
      </c>
      <c r="H113" s="23">
        <f>SALESTABLE[[#This Row],[Value]]*18%</f>
        <v>982.8</v>
      </c>
      <c r="I113" s="23"/>
      <c r="J113" s="15"/>
    </row>
    <row r="114" spans="1:10" hidden="1" x14ac:dyDescent="0.25">
      <c r="A114" s="9">
        <v>45763</v>
      </c>
      <c r="B114" t="s">
        <v>99</v>
      </c>
      <c r="C114" s="5" t="s">
        <v>8</v>
      </c>
      <c r="D114" s="18">
        <v>210</v>
      </c>
      <c r="E114" s="22">
        <v>90</v>
      </c>
      <c r="F114" s="6">
        <v>18900</v>
      </c>
      <c r="G114" s="3">
        <f>SALESTABLE[[#This Row],[Value]]+SALESTABLE[[#This Row],[gst]]</f>
        <v>22302</v>
      </c>
      <c r="H114" s="23">
        <f>SALESTABLE[[#This Row],[Value]]*18%</f>
        <v>3402</v>
      </c>
      <c r="I114" s="23"/>
      <c r="J114" s="15"/>
    </row>
    <row r="115" spans="1:10" hidden="1" x14ac:dyDescent="0.25">
      <c r="A115" s="9">
        <v>45763</v>
      </c>
      <c r="B115" s="4" t="s">
        <v>102</v>
      </c>
      <c r="C115" s="5" t="s">
        <v>8</v>
      </c>
      <c r="D115" s="18">
        <v>210</v>
      </c>
      <c r="E115" s="22">
        <v>80</v>
      </c>
      <c r="F115" s="6">
        <v>16800</v>
      </c>
      <c r="G115" s="3">
        <f>SALESTABLE[[#This Row],[Value]]+SALESTABLE[[#This Row],[gst]]</f>
        <v>19824</v>
      </c>
      <c r="H115" s="23">
        <f>SALESTABLE[[#This Row],[Value]]*18%</f>
        <v>3024</v>
      </c>
      <c r="I115" s="23"/>
      <c r="J115" s="15"/>
    </row>
    <row r="116" spans="1:10" hidden="1" x14ac:dyDescent="0.25">
      <c r="A116" s="9">
        <v>45763</v>
      </c>
      <c r="B116" s="4" t="s">
        <v>93</v>
      </c>
      <c r="C116" s="5" t="s">
        <v>8</v>
      </c>
      <c r="D116" s="18">
        <v>420</v>
      </c>
      <c r="E116" s="22">
        <v>70</v>
      </c>
      <c r="F116" s="6">
        <v>29400</v>
      </c>
      <c r="G116" s="3">
        <f>SALESTABLE[[#This Row],[Value]]+SALESTABLE[[#This Row],[gst]]</f>
        <v>34692</v>
      </c>
      <c r="H116" s="23">
        <f>SALESTABLE[[#This Row],[Value]]*18%</f>
        <v>5292</v>
      </c>
      <c r="I116" s="23"/>
      <c r="J116" s="15"/>
    </row>
    <row r="117" spans="1:10" hidden="1" x14ac:dyDescent="0.25">
      <c r="A117" s="9">
        <v>45763</v>
      </c>
      <c r="B117" s="4" t="s">
        <v>63</v>
      </c>
      <c r="C117" s="5" t="s">
        <v>8</v>
      </c>
      <c r="D117" s="18">
        <v>100</v>
      </c>
      <c r="E117" s="22">
        <v>195</v>
      </c>
      <c r="F117" s="6">
        <v>19500</v>
      </c>
      <c r="G117" s="3">
        <f>SALESTABLE[[#This Row],[Value]]+SALESTABLE[[#This Row],[gst]]</f>
        <v>23010</v>
      </c>
      <c r="H117" s="23">
        <f>SALESTABLE[[#This Row],[Value]]*18%</f>
        <v>3510</v>
      </c>
      <c r="I117" s="23"/>
      <c r="J117" s="15"/>
    </row>
    <row r="118" spans="1:10" hidden="1" x14ac:dyDescent="0.25">
      <c r="A118" s="9">
        <v>45763</v>
      </c>
      <c r="B118" t="s">
        <v>99</v>
      </c>
      <c r="C118" s="5" t="s">
        <v>8</v>
      </c>
      <c r="D118" s="18">
        <v>26</v>
      </c>
      <c r="E118" s="22">
        <v>115</v>
      </c>
      <c r="F118" s="6">
        <v>5920</v>
      </c>
      <c r="G118" s="3">
        <f>SALESTABLE[[#This Row],[Value]]+SALESTABLE[[#This Row],[gst]]</f>
        <v>6985.6</v>
      </c>
      <c r="H118" s="23">
        <f>SALESTABLE[[#This Row],[Value]]*18%</f>
        <v>1065.5999999999999</v>
      </c>
      <c r="I118" s="23"/>
      <c r="J118" s="15"/>
    </row>
    <row r="119" spans="1:10" hidden="1" x14ac:dyDescent="0.25">
      <c r="A119" s="9">
        <v>45763</v>
      </c>
      <c r="B119" s="4" t="s">
        <v>72</v>
      </c>
      <c r="C119" s="5" t="s">
        <v>8</v>
      </c>
      <c r="D119" s="18">
        <v>26</v>
      </c>
      <c r="E119" s="22">
        <v>115</v>
      </c>
      <c r="F119" s="6">
        <v>34400</v>
      </c>
      <c r="G119" s="3">
        <f>SALESTABLE[[#This Row],[Value]]+SALESTABLE[[#This Row],[gst]]</f>
        <v>40592</v>
      </c>
      <c r="H119" s="23">
        <f>SALESTABLE[[#This Row],[Value]]*18%</f>
        <v>6192</v>
      </c>
      <c r="I119" s="23"/>
      <c r="J119" s="15"/>
    </row>
    <row r="120" spans="1:10" hidden="1" x14ac:dyDescent="0.25">
      <c r="A120" s="9">
        <v>45763</v>
      </c>
      <c r="B120" s="4" t="s">
        <v>102</v>
      </c>
      <c r="C120" s="5" t="s">
        <v>8</v>
      </c>
      <c r="D120" s="18">
        <v>4</v>
      </c>
      <c r="E120" s="22">
        <v>169.5</v>
      </c>
      <c r="F120" s="6">
        <v>678</v>
      </c>
      <c r="G120" s="3">
        <f>SALESTABLE[[#This Row],[Value]]+SALESTABLE[[#This Row],[gst]]</f>
        <v>800.04</v>
      </c>
      <c r="H120" s="23">
        <f>SALESTABLE[[#This Row],[Value]]*18%</f>
        <v>122.03999999999999</v>
      </c>
      <c r="I120" s="23"/>
      <c r="J120" s="15"/>
    </row>
    <row r="121" spans="1:10" ht="15.6" hidden="1" customHeight="1" x14ac:dyDescent="0.25">
      <c r="A121" s="9">
        <v>45763</v>
      </c>
      <c r="B121" t="s">
        <v>99</v>
      </c>
      <c r="C121" s="5" t="s">
        <v>8</v>
      </c>
      <c r="D121" s="18">
        <v>210</v>
      </c>
      <c r="E121" s="22">
        <v>83</v>
      </c>
      <c r="F121" s="6">
        <v>17430</v>
      </c>
      <c r="G121" s="3">
        <f>SALESTABLE[[#This Row],[Value]]+SALESTABLE[[#This Row],[gst]]</f>
        <v>20567.400000000001</v>
      </c>
      <c r="H121" s="23">
        <f>SALESTABLE[[#This Row],[Value]]*18%</f>
        <v>3137.4</v>
      </c>
      <c r="I121" s="23"/>
      <c r="J121" s="15"/>
    </row>
    <row r="122" spans="1:10" hidden="1" x14ac:dyDescent="0.25">
      <c r="A122" s="9">
        <v>45763</v>
      </c>
      <c r="B122" s="4" t="s">
        <v>102</v>
      </c>
      <c r="C122" s="5" t="s">
        <v>8</v>
      </c>
      <c r="D122" s="18">
        <v>4</v>
      </c>
      <c r="E122" s="22">
        <v>168.75</v>
      </c>
      <c r="F122" s="6">
        <v>675</v>
      </c>
      <c r="G122" s="3">
        <f>SALESTABLE[[#This Row],[Value]]+SALESTABLE[[#This Row],[gst]]</f>
        <v>796.5</v>
      </c>
      <c r="H122" s="23">
        <f>SALESTABLE[[#This Row],[Value]]*18%</f>
        <v>121.5</v>
      </c>
      <c r="I122" s="23"/>
      <c r="J122" s="15"/>
    </row>
    <row r="123" spans="1:10" hidden="1" x14ac:dyDescent="0.25">
      <c r="A123" s="9">
        <v>45765</v>
      </c>
      <c r="B123" s="4" t="s">
        <v>93</v>
      </c>
      <c r="C123" s="5" t="s">
        <v>8</v>
      </c>
      <c r="D123" s="18">
        <v>210</v>
      </c>
      <c r="E123" s="22">
        <v>80</v>
      </c>
      <c r="F123" s="6">
        <v>16800</v>
      </c>
      <c r="G123" s="3">
        <f>SALESTABLE[[#This Row],[Value]]+SALESTABLE[[#This Row],[gst]]</f>
        <v>19824</v>
      </c>
      <c r="H123" s="23">
        <f>SALESTABLE[[#This Row],[Value]]*18%</f>
        <v>3024</v>
      </c>
      <c r="I123" s="23"/>
      <c r="J123" s="15"/>
    </row>
    <row r="124" spans="1:10" hidden="1" x14ac:dyDescent="0.25">
      <c r="A124" s="9">
        <v>45765</v>
      </c>
      <c r="B124" s="4" t="s">
        <v>95</v>
      </c>
      <c r="C124" s="5" t="s">
        <v>8</v>
      </c>
      <c r="D124" s="18">
        <v>220</v>
      </c>
      <c r="E124" s="22">
        <v>55</v>
      </c>
      <c r="F124" s="6">
        <v>12100</v>
      </c>
      <c r="G124" s="3">
        <f>SALESTABLE[[#This Row],[Value]]+SALESTABLE[[#This Row],[gst]]</f>
        <v>14278</v>
      </c>
      <c r="H124" s="23">
        <f>SALESTABLE[[#This Row],[Value]]*18%</f>
        <v>2178</v>
      </c>
      <c r="I124" s="23"/>
      <c r="J124" s="15"/>
    </row>
    <row r="125" spans="1:10" hidden="1" x14ac:dyDescent="0.25">
      <c r="A125" s="9">
        <v>45765</v>
      </c>
      <c r="B125" s="4" t="s">
        <v>96</v>
      </c>
      <c r="C125" s="5" t="s">
        <v>8</v>
      </c>
      <c r="D125" s="18">
        <v>20</v>
      </c>
      <c r="E125" s="22">
        <v>75</v>
      </c>
      <c r="F125" s="6">
        <v>1500</v>
      </c>
      <c r="G125" s="3">
        <f>SALESTABLE[[#This Row],[Value]]+SALESTABLE[[#This Row],[gst]]</f>
        <v>1770</v>
      </c>
      <c r="H125" s="23">
        <f>SALESTABLE[[#This Row],[Value]]*18%</f>
        <v>270</v>
      </c>
      <c r="I125" s="23"/>
      <c r="J125" s="15"/>
    </row>
    <row r="126" spans="1:10" hidden="1" x14ac:dyDescent="0.25">
      <c r="A126" s="9">
        <v>45765</v>
      </c>
      <c r="B126" s="4" t="s">
        <v>49</v>
      </c>
      <c r="C126" s="5" t="s">
        <v>8</v>
      </c>
      <c r="D126" s="18">
        <v>455</v>
      </c>
      <c r="E126" s="22">
        <v>65.38</v>
      </c>
      <c r="F126" s="6">
        <v>29750</v>
      </c>
      <c r="G126" s="3">
        <f>SALESTABLE[[#This Row],[Value]]+SALESTABLE[[#This Row],[gst]]</f>
        <v>35105</v>
      </c>
      <c r="H126" s="23">
        <f>SALESTABLE[[#This Row],[Value]]*18%</f>
        <v>5355</v>
      </c>
      <c r="I126" s="23"/>
      <c r="J126" s="15"/>
    </row>
    <row r="127" spans="1:10" hidden="1" x14ac:dyDescent="0.25">
      <c r="A127" s="9">
        <v>45765</v>
      </c>
      <c r="B127" s="4" t="s">
        <v>21</v>
      </c>
      <c r="C127" s="5" t="s">
        <v>8</v>
      </c>
      <c r="D127" s="18">
        <v>210</v>
      </c>
      <c r="E127" s="22">
        <v>115</v>
      </c>
      <c r="F127" s="6">
        <v>24150</v>
      </c>
      <c r="G127" s="3">
        <f>SALESTABLE[[#This Row],[Value]]+SALESTABLE[[#This Row],[gst]]</f>
        <v>28497</v>
      </c>
      <c r="H127" s="23">
        <f>SALESTABLE[[#This Row],[Value]]*18%</f>
        <v>4347</v>
      </c>
      <c r="I127" s="23"/>
      <c r="J127" s="15"/>
    </row>
    <row r="128" spans="1:10" hidden="1" x14ac:dyDescent="0.25">
      <c r="A128" s="9">
        <v>45765</v>
      </c>
      <c r="B128" t="s">
        <v>99</v>
      </c>
      <c r="C128" s="5" t="s">
        <v>8</v>
      </c>
      <c r="D128" s="18">
        <v>26</v>
      </c>
      <c r="E128" s="22">
        <v>130</v>
      </c>
      <c r="F128" s="6">
        <v>3380</v>
      </c>
      <c r="G128" s="3">
        <f>SALESTABLE[[#This Row],[Value]]+SALESTABLE[[#This Row],[gst]]</f>
        <v>3988.4</v>
      </c>
      <c r="H128" s="23">
        <f>SALESTABLE[[#This Row],[Value]]*18%</f>
        <v>608.4</v>
      </c>
      <c r="I128" s="23"/>
      <c r="J128" s="15"/>
    </row>
    <row r="129" spans="1:10" hidden="1" x14ac:dyDescent="0.25">
      <c r="A129" s="9">
        <v>45765</v>
      </c>
      <c r="B129" t="s">
        <v>99</v>
      </c>
      <c r="C129" s="5" t="s">
        <v>8</v>
      </c>
      <c r="D129" s="18">
        <v>120</v>
      </c>
      <c r="E129" s="22">
        <v>160</v>
      </c>
      <c r="F129" s="6">
        <v>19200</v>
      </c>
      <c r="G129" s="3">
        <f>SALESTABLE[[#This Row],[Value]]+SALESTABLE[[#This Row],[gst]]</f>
        <v>22656</v>
      </c>
      <c r="H129" s="23">
        <f>SALESTABLE[[#This Row],[Value]]*18%</f>
        <v>3456</v>
      </c>
      <c r="I129" s="23"/>
      <c r="J129" s="15"/>
    </row>
    <row r="130" spans="1:10" hidden="1" x14ac:dyDescent="0.25">
      <c r="A130" s="9">
        <v>45766</v>
      </c>
      <c r="B130" s="4" t="s">
        <v>94</v>
      </c>
      <c r="C130" s="5" t="s">
        <v>8</v>
      </c>
      <c r="D130" s="18">
        <v>630</v>
      </c>
      <c r="E130" s="22">
        <v>75</v>
      </c>
      <c r="F130" s="6">
        <v>47250</v>
      </c>
      <c r="G130" s="3">
        <f>SALESTABLE[[#This Row],[Value]]+SALESTABLE[[#This Row],[gst]]</f>
        <v>55755</v>
      </c>
      <c r="H130" s="23">
        <f>SALESTABLE[[#This Row],[Value]]*18%</f>
        <v>8505</v>
      </c>
      <c r="I130" s="23"/>
      <c r="J130" s="15"/>
    </row>
    <row r="131" spans="1:10" hidden="1" x14ac:dyDescent="0.25">
      <c r="A131" s="9">
        <v>45766</v>
      </c>
      <c r="B131" s="4" t="s">
        <v>102</v>
      </c>
      <c r="C131" s="5" t="s">
        <v>8</v>
      </c>
      <c r="D131" s="18">
        <v>210</v>
      </c>
      <c r="E131" s="22">
        <v>80</v>
      </c>
      <c r="F131" s="6">
        <v>16800</v>
      </c>
      <c r="G131" s="3">
        <f>SALESTABLE[[#This Row],[Value]]+SALESTABLE[[#This Row],[gst]]</f>
        <v>19824</v>
      </c>
      <c r="H131" s="23">
        <f>SALESTABLE[[#This Row],[Value]]*18%</f>
        <v>3024</v>
      </c>
      <c r="I131" s="23"/>
      <c r="J131" s="15"/>
    </row>
    <row r="132" spans="1:10" hidden="1" x14ac:dyDescent="0.25">
      <c r="A132" s="9">
        <v>45766</v>
      </c>
      <c r="B132" s="4" t="s">
        <v>93</v>
      </c>
      <c r="C132" s="5" t="s">
        <v>8</v>
      </c>
      <c r="D132" s="18">
        <v>5</v>
      </c>
      <c r="E132" s="22">
        <v>60</v>
      </c>
      <c r="F132" s="6">
        <v>300</v>
      </c>
      <c r="G132" s="3">
        <f>SALESTABLE[[#This Row],[Value]]+SALESTABLE[[#This Row],[gst]]</f>
        <v>354</v>
      </c>
      <c r="H132" s="23">
        <f>SALESTABLE[[#This Row],[Value]]*18%</f>
        <v>54</v>
      </c>
      <c r="I132" s="23"/>
      <c r="J132" s="15"/>
    </row>
    <row r="133" spans="1:10" hidden="1" x14ac:dyDescent="0.25">
      <c r="A133" s="9">
        <v>45766</v>
      </c>
      <c r="B133" s="4" t="s">
        <v>63</v>
      </c>
      <c r="C133" s="5" t="s">
        <v>8</v>
      </c>
      <c r="D133" s="18">
        <v>5</v>
      </c>
      <c r="E133" s="22">
        <v>180</v>
      </c>
      <c r="F133" s="6">
        <v>900</v>
      </c>
      <c r="G133" s="3">
        <f>SALESTABLE[[#This Row],[Value]]+SALESTABLE[[#This Row],[gst]]</f>
        <v>1062</v>
      </c>
      <c r="H133" s="23">
        <f>SALESTABLE[[#This Row],[Value]]*18%</f>
        <v>162</v>
      </c>
      <c r="I133" s="23"/>
      <c r="J133" s="15"/>
    </row>
    <row r="134" spans="1:10" hidden="1" x14ac:dyDescent="0.25">
      <c r="A134" s="9">
        <v>45766</v>
      </c>
      <c r="B134" t="s">
        <v>99</v>
      </c>
      <c r="C134" s="5" t="s">
        <v>8</v>
      </c>
      <c r="D134" s="18">
        <v>840</v>
      </c>
      <c r="E134" s="22">
        <v>75.19</v>
      </c>
      <c r="F134" s="6">
        <v>63160</v>
      </c>
      <c r="G134" s="3">
        <f>SALESTABLE[[#This Row],[Value]]+SALESTABLE[[#This Row],[gst]]</f>
        <v>74528.800000000003</v>
      </c>
      <c r="H134" s="23">
        <f>SALESTABLE[[#This Row],[Value]]*18%</f>
        <v>11368.8</v>
      </c>
      <c r="I134" s="23"/>
      <c r="J134" s="15"/>
    </row>
    <row r="135" spans="1:10" hidden="1" x14ac:dyDescent="0.25">
      <c r="A135" s="9">
        <v>45767</v>
      </c>
      <c r="B135" s="4" t="s">
        <v>96</v>
      </c>
      <c r="C135" s="5" t="s">
        <v>8</v>
      </c>
      <c r="D135" s="18">
        <v>420</v>
      </c>
      <c r="E135" s="22">
        <v>55</v>
      </c>
      <c r="F135" s="6">
        <v>23100</v>
      </c>
      <c r="G135" s="3">
        <f>SALESTABLE[[#This Row],[Value]]+SALESTABLE[[#This Row],[gst]]</f>
        <v>27258</v>
      </c>
      <c r="H135" s="23">
        <f>SALESTABLE[[#This Row],[Value]]*18%</f>
        <v>4158</v>
      </c>
      <c r="I135" s="23"/>
      <c r="J135" s="15"/>
    </row>
    <row r="136" spans="1:10" hidden="1" x14ac:dyDescent="0.25">
      <c r="A136" s="9">
        <v>45767</v>
      </c>
      <c r="B136" s="4" t="s">
        <v>58</v>
      </c>
      <c r="C136" s="5" t="s">
        <v>8</v>
      </c>
      <c r="D136" s="18">
        <v>20</v>
      </c>
      <c r="E136" s="22">
        <v>125</v>
      </c>
      <c r="F136" s="6">
        <v>2500</v>
      </c>
      <c r="G136" s="3">
        <f>SALESTABLE[[#This Row],[Value]]+SALESTABLE[[#This Row],[gst]]</f>
        <v>2950</v>
      </c>
      <c r="H136" s="23">
        <f>SALESTABLE[[#This Row],[Value]]*18%</f>
        <v>450</v>
      </c>
      <c r="I136" s="23"/>
      <c r="J136" s="15"/>
    </row>
    <row r="137" spans="1:10" hidden="1" x14ac:dyDescent="0.25">
      <c r="A137" s="9">
        <v>45767</v>
      </c>
      <c r="B137" s="4" t="s">
        <v>93</v>
      </c>
      <c r="C137" s="5" t="s">
        <v>8</v>
      </c>
      <c r="D137" s="18">
        <v>210</v>
      </c>
      <c r="E137" s="22">
        <v>95</v>
      </c>
      <c r="F137" s="6">
        <v>19950</v>
      </c>
      <c r="G137" s="3">
        <f>SALESTABLE[[#This Row],[Value]]+SALESTABLE[[#This Row],[gst]]</f>
        <v>23541</v>
      </c>
      <c r="H137" s="23">
        <f>SALESTABLE[[#This Row],[Value]]*18%</f>
        <v>3591</v>
      </c>
      <c r="I137" s="23"/>
      <c r="J137" s="15"/>
    </row>
    <row r="138" spans="1:10" hidden="1" x14ac:dyDescent="0.25">
      <c r="A138" s="9">
        <v>45767</v>
      </c>
      <c r="B138" s="4" t="s">
        <v>94</v>
      </c>
      <c r="C138" s="5" t="s">
        <v>8</v>
      </c>
      <c r="D138" s="18">
        <v>240</v>
      </c>
      <c r="E138" s="22">
        <v>90.5</v>
      </c>
      <c r="F138" s="6">
        <v>21720</v>
      </c>
      <c r="G138" s="3">
        <f>SALESTABLE[[#This Row],[Value]]+SALESTABLE[[#This Row],[gst]]</f>
        <v>25629.599999999999</v>
      </c>
      <c r="H138" s="23">
        <f>SALESTABLE[[#This Row],[Value]]*18%</f>
        <v>3909.6</v>
      </c>
      <c r="I138" s="23"/>
      <c r="J138" s="15"/>
    </row>
    <row r="139" spans="1:10" hidden="1" x14ac:dyDescent="0.25">
      <c r="A139" s="9">
        <v>45767</v>
      </c>
      <c r="B139" t="s">
        <v>99</v>
      </c>
      <c r="C139" s="5" t="s">
        <v>8</v>
      </c>
      <c r="D139" s="18">
        <v>26</v>
      </c>
      <c r="E139" s="22">
        <v>125</v>
      </c>
      <c r="F139" s="6">
        <v>3250</v>
      </c>
      <c r="G139" s="3">
        <f>SALESTABLE[[#This Row],[Value]]+SALESTABLE[[#This Row],[gst]]</f>
        <v>3835</v>
      </c>
      <c r="H139" s="23">
        <f>SALESTABLE[[#This Row],[Value]]*18%</f>
        <v>585</v>
      </c>
      <c r="I139" s="23"/>
      <c r="J139" s="15"/>
    </row>
    <row r="140" spans="1:10" hidden="1" x14ac:dyDescent="0.25">
      <c r="A140" s="9">
        <v>45767</v>
      </c>
      <c r="B140" s="4" t="s">
        <v>96</v>
      </c>
      <c r="C140" s="5" t="s">
        <v>8</v>
      </c>
      <c r="D140" s="18">
        <v>5</v>
      </c>
      <c r="E140" s="22">
        <v>280</v>
      </c>
      <c r="F140" s="6">
        <v>1400</v>
      </c>
      <c r="G140" s="3">
        <f>SALESTABLE[[#This Row],[Value]]+SALESTABLE[[#This Row],[gst]]</f>
        <v>1652</v>
      </c>
      <c r="H140" s="23">
        <f>SALESTABLE[[#This Row],[Value]]*18%</f>
        <v>252</v>
      </c>
      <c r="I140" s="23"/>
      <c r="J140" s="15"/>
    </row>
    <row r="141" spans="1:10" hidden="1" x14ac:dyDescent="0.25">
      <c r="A141" s="9">
        <v>45767</v>
      </c>
      <c r="B141" s="4" t="s">
        <v>95</v>
      </c>
      <c r="C141" s="5" t="s">
        <v>8</v>
      </c>
      <c r="D141" s="18">
        <v>35</v>
      </c>
      <c r="E141" s="22">
        <v>90</v>
      </c>
      <c r="F141" s="6">
        <v>3150</v>
      </c>
      <c r="G141" s="3">
        <f>SALESTABLE[[#This Row],[Value]]+SALESTABLE[[#This Row],[gst]]</f>
        <v>3717</v>
      </c>
      <c r="H141" s="23">
        <f>SALESTABLE[[#This Row],[Value]]*18%</f>
        <v>567</v>
      </c>
      <c r="I141" s="23"/>
      <c r="J141" s="15"/>
    </row>
    <row r="142" spans="1:10" hidden="1" x14ac:dyDescent="0.25">
      <c r="A142" s="9">
        <v>45767</v>
      </c>
      <c r="B142" s="4" t="s">
        <v>80</v>
      </c>
      <c r="C142" s="5" t="s">
        <v>8</v>
      </c>
      <c r="D142" s="18">
        <v>26</v>
      </c>
      <c r="E142" s="22">
        <v>115</v>
      </c>
      <c r="F142" s="6">
        <v>53150</v>
      </c>
      <c r="G142" s="3">
        <f>SALESTABLE[[#This Row],[Value]]+SALESTABLE[[#This Row],[gst]]</f>
        <v>62717</v>
      </c>
      <c r="H142" s="23">
        <f>SALESTABLE[[#This Row],[Value]]*18%</f>
        <v>9567</v>
      </c>
      <c r="I142" s="23"/>
      <c r="J142" s="15"/>
    </row>
    <row r="143" spans="1:10" hidden="1" x14ac:dyDescent="0.25">
      <c r="A143" s="9">
        <v>45767</v>
      </c>
      <c r="B143" t="s">
        <v>99</v>
      </c>
      <c r="C143" s="5" t="s">
        <v>8</v>
      </c>
      <c r="D143" s="18">
        <v>10</v>
      </c>
      <c r="E143" s="22">
        <v>125</v>
      </c>
      <c r="F143" s="6">
        <v>1250</v>
      </c>
      <c r="G143" s="3">
        <f>SALESTABLE[[#This Row],[Value]]+SALESTABLE[[#This Row],[gst]]</f>
        <v>1475</v>
      </c>
      <c r="H143" s="23">
        <f>SALESTABLE[[#This Row],[Value]]*18%</f>
        <v>225</v>
      </c>
      <c r="I143" s="23"/>
      <c r="J143" s="15"/>
    </row>
    <row r="144" spans="1:10" hidden="1" x14ac:dyDescent="0.25">
      <c r="A144" s="9">
        <v>45767</v>
      </c>
      <c r="B144" s="4" t="s">
        <v>96</v>
      </c>
      <c r="C144" s="5" t="s">
        <v>8</v>
      </c>
      <c r="D144" s="18">
        <v>52</v>
      </c>
      <c r="E144" s="22">
        <v>105</v>
      </c>
      <c r="F144" s="6">
        <v>5460</v>
      </c>
      <c r="G144" s="3">
        <f>SALESTABLE[[#This Row],[Value]]+SALESTABLE[[#This Row],[gst]]</f>
        <v>6442.8</v>
      </c>
      <c r="H144" s="23">
        <f>SALESTABLE[[#This Row],[Value]]*18%</f>
        <v>982.8</v>
      </c>
      <c r="I144" s="23"/>
      <c r="J144" s="15"/>
    </row>
    <row r="145" spans="1:10" hidden="1" x14ac:dyDescent="0.25">
      <c r="A145" s="9">
        <v>45768</v>
      </c>
      <c r="B145" s="4" t="s">
        <v>9</v>
      </c>
      <c r="C145" s="5" t="s">
        <v>8</v>
      </c>
      <c r="D145" s="18">
        <v>52</v>
      </c>
      <c r="E145" s="22">
        <v>110</v>
      </c>
      <c r="F145" s="6">
        <v>5720</v>
      </c>
      <c r="G145" s="3">
        <f>SALESTABLE[[#This Row],[Value]]+SALESTABLE[[#This Row],[gst]]</f>
        <v>6749.6</v>
      </c>
      <c r="H145" s="23">
        <f>SALESTABLE[[#This Row],[Value]]*18%</f>
        <v>1029.5999999999999</v>
      </c>
      <c r="I145" s="23"/>
      <c r="J145" s="15"/>
    </row>
    <row r="146" spans="1:10" hidden="1" x14ac:dyDescent="0.25">
      <c r="A146" s="9">
        <v>45768</v>
      </c>
      <c r="B146" s="4" t="s">
        <v>17</v>
      </c>
      <c r="C146" s="5" t="s">
        <v>8</v>
      </c>
      <c r="D146" s="18">
        <v>420</v>
      </c>
      <c r="E146" s="22">
        <v>73</v>
      </c>
      <c r="F146" s="6">
        <v>30660</v>
      </c>
      <c r="G146" s="3">
        <f>SALESTABLE[[#This Row],[Value]]+SALESTABLE[[#This Row],[gst]]</f>
        <v>36178.800000000003</v>
      </c>
      <c r="H146" s="23">
        <f>SALESTABLE[[#This Row],[Value]]*18%</f>
        <v>5518.8</v>
      </c>
      <c r="I146" s="23"/>
      <c r="J146" s="15"/>
    </row>
    <row r="147" spans="1:10" hidden="1" x14ac:dyDescent="0.25">
      <c r="A147" s="9">
        <v>45768</v>
      </c>
      <c r="B147" s="4" t="s">
        <v>53</v>
      </c>
      <c r="C147" s="5" t="s">
        <v>8</v>
      </c>
      <c r="D147" s="18">
        <v>210</v>
      </c>
      <c r="E147" s="22">
        <v>86</v>
      </c>
      <c r="F147" s="6">
        <v>18060</v>
      </c>
      <c r="G147" s="3">
        <f>SALESTABLE[[#This Row],[Value]]+SALESTABLE[[#This Row],[gst]]</f>
        <v>21310.799999999999</v>
      </c>
      <c r="H147" s="23">
        <f>SALESTABLE[[#This Row],[Value]]*18%</f>
        <v>3250.7999999999997</v>
      </c>
      <c r="I147" s="23"/>
      <c r="J147" s="15"/>
    </row>
    <row r="148" spans="1:10" hidden="1" x14ac:dyDescent="0.25">
      <c r="A148" s="9">
        <v>45768</v>
      </c>
      <c r="B148" t="s">
        <v>99</v>
      </c>
      <c r="C148" s="5" t="s">
        <v>8</v>
      </c>
      <c r="D148" s="18">
        <v>26</v>
      </c>
      <c r="E148" s="22">
        <v>79</v>
      </c>
      <c r="F148" s="6">
        <v>2054</v>
      </c>
      <c r="G148" s="3">
        <f>SALESTABLE[[#This Row],[Value]]+SALESTABLE[[#This Row],[gst]]</f>
        <v>2423.7199999999998</v>
      </c>
      <c r="H148" s="23">
        <f>SALESTABLE[[#This Row],[Value]]*18%</f>
        <v>369.71999999999997</v>
      </c>
      <c r="I148" s="23"/>
      <c r="J148" s="15"/>
    </row>
    <row r="149" spans="1:10" hidden="1" x14ac:dyDescent="0.25">
      <c r="A149" s="9">
        <v>45768</v>
      </c>
      <c r="B149" s="4" t="s">
        <v>94</v>
      </c>
      <c r="C149" s="5" t="s">
        <v>8</v>
      </c>
      <c r="D149" s="18">
        <v>266</v>
      </c>
      <c r="E149" s="22">
        <v>117.78</v>
      </c>
      <c r="F149" s="6">
        <v>31330</v>
      </c>
      <c r="G149" s="3">
        <f>SALESTABLE[[#This Row],[Value]]+SALESTABLE[[#This Row],[gst]]</f>
        <v>36969.4</v>
      </c>
      <c r="H149" s="23">
        <f>SALESTABLE[[#This Row],[Value]]*18%</f>
        <v>5639.4</v>
      </c>
      <c r="I149" s="23"/>
      <c r="J149" s="15"/>
    </row>
    <row r="150" spans="1:10" hidden="1" x14ac:dyDescent="0.25">
      <c r="A150" s="9">
        <v>45768</v>
      </c>
      <c r="B150" s="4" t="s">
        <v>22</v>
      </c>
      <c r="C150" s="5" t="s">
        <v>8</v>
      </c>
      <c r="D150" s="18">
        <v>210</v>
      </c>
      <c r="E150" s="22">
        <v>70</v>
      </c>
      <c r="F150" s="6">
        <v>14700</v>
      </c>
      <c r="G150" s="3">
        <f>SALESTABLE[[#This Row],[Value]]+SALESTABLE[[#This Row],[gst]]</f>
        <v>17346</v>
      </c>
      <c r="H150" s="23">
        <f>SALESTABLE[[#This Row],[Value]]*18%</f>
        <v>2646</v>
      </c>
      <c r="I150" s="23"/>
      <c r="J150" s="15"/>
    </row>
    <row r="151" spans="1:10" hidden="1" x14ac:dyDescent="0.25">
      <c r="A151" s="9">
        <v>45768</v>
      </c>
      <c r="B151" s="4" t="s">
        <v>55</v>
      </c>
      <c r="C151" s="5" t="s">
        <v>8</v>
      </c>
      <c r="D151" s="18">
        <v>310</v>
      </c>
      <c r="E151" s="22">
        <v>98.97</v>
      </c>
      <c r="F151" s="6">
        <v>30680</v>
      </c>
      <c r="G151" s="3">
        <f>SALESTABLE[[#This Row],[Value]]+SALESTABLE[[#This Row],[gst]]</f>
        <v>36202.400000000001</v>
      </c>
      <c r="H151" s="23">
        <f>SALESTABLE[[#This Row],[Value]]*18%</f>
        <v>5522.4</v>
      </c>
      <c r="I151" s="23"/>
      <c r="J151" s="15"/>
    </row>
    <row r="152" spans="1:10" hidden="1" x14ac:dyDescent="0.25">
      <c r="A152" s="9">
        <v>45768</v>
      </c>
      <c r="B152" s="4" t="s">
        <v>96</v>
      </c>
      <c r="C152" s="5" t="s">
        <v>8</v>
      </c>
      <c r="D152" s="18">
        <v>208</v>
      </c>
      <c r="E152" s="22">
        <v>85</v>
      </c>
      <c r="F152" s="6">
        <v>17680</v>
      </c>
      <c r="G152" s="3">
        <f>SALESTABLE[[#This Row],[Value]]+SALESTABLE[[#This Row],[gst]]</f>
        <v>20862.400000000001</v>
      </c>
      <c r="H152" s="23">
        <f>SALESTABLE[[#This Row],[Value]]*18%</f>
        <v>3182.4</v>
      </c>
      <c r="I152" s="23"/>
      <c r="J152" s="15"/>
    </row>
    <row r="153" spans="1:10" hidden="1" x14ac:dyDescent="0.25">
      <c r="A153" s="9">
        <v>45768</v>
      </c>
      <c r="B153" s="4" t="s">
        <v>95</v>
      </c>
      <c r="C153" s="5" t="s">
        <v>8</v>
      </c>
      <c r="D153" s="18">
        <v>100</v>
      </c>
      <c r="E153" s="22">
        <v>104.1</v>
      </c>
      <c r="F153" s="6">
        <v>10410</v>
      </c>
      <c r="G153" s="3">
        <f>SALESTABLE[[#This Row],[Value]]+SALESTABLE[[#This Row],[gst]]</f>
        <v>12283.8</v>
      </c>
      <c r="H153" s="23">
        <f>SALESTABLE[[#This Row],[Value]]*18%</f>
        <v>1873.8</v>
      </c>
      <c r="I153" s="23"/>
      <c r="J153" s="15"/>
    </row>
    <row r="154" spans="1:10" hidden="1" x14ac:dyDescent="0.25">
      <c r="A154" s="9">
        <v>45768</v>
      </c>
      <c r="B154" t="s">
        <v>99</v>
      </c>
      <c r="C154" s="5" t="s">
        <v>8</v>
      </c>
      <c r="D154" s="18">
        <v>52</v>
      </c>
      <c r="E154" s="22">
        <v>115</v>
      </c>
      <c r="F154" s="6">
        <v>5980</v>
      </c>
      <c r="G154" s="3">
        <f>SALESTABLE[[#This Row],[Value]]+SALESTABLE[[#This Row],[gst]]</f>
        <v>7056.4</v>
      </c>
      <c r="H154" s="23">
        <f>SALESTABLE[[#This Row],[Value]]*18%</f>
        <v>1076.3999999999999</v>
      </c>
      <c r="I154" s="23"/>
      <c r="J154" s="15"/>
    </row>
    <row r="155" spans="1:10" hidden="1" x14ac:dyDescent="0.25">
      <c r="A155" s="9">
        <v>45768</v>
      </c>
      <c r="B155" s="4" t="s">
        <v>95</v>
      </c>
      <c r="C155" s="5" t="s">
        <v>8</v>
      </c>
      <c r="D155" s="18">
        <v>150</v>
      </c>
      <c r="E155" s="22">
        <v>163</v>
      </c>
      <c r="F155" s="6">
        <v>24450</v>
      </c>
      <c r="G155" s="3">
        <f>SALESTABLE[[#This Row],[Value]]+SALESTABLE[[#This Row],[gst]]</f>
        <v>28851</v>
      </c>
      <c r="H155" s="23">
        <f>SALESTABLE[[#This Row],[Value]]*18%</f>
        <v>4401</v>
      </c>
      <c r="I155" s="23"/>
      <c r="J155" s="15"/>
    </row>
    <row r="156" spans="1:10" hidden="1" x14ac:dyDescent="0.25">
      <c r="A156" s="9">
        <v>45768</v>
      </c>
      <c r="B156" t="s">
        <v>99</v>
      </c>
      <c r="C156" s="5" t="s">
        <v>8</v>
      </c>
      <c r="D156" s="18">
        <v>52</v>
      </c>
      <c r="E156" s="22">
        <v>192</v>
      </c>
      <c r="F156" s="6">
        <v>9984</v>
      </c>
      <c r="G156" s="3">
        <f>SALESTABLE[[#This Row],[Value]]+SALESTABLE[[#This Row],[gst]]</f>
        <v>11781.119999999999</v>
      </c>
      <c r="H156" s="23">
        <f>SALESTABLE[[#This Row],[Value]]*18%</f>
        <v>1797.12</v>
      </c>
      <c r="I156" s="23"/>
      <c r="J156" s="15"/>
    </row>
    <row r="157" spans="1:10" hidden="1" x14ac:dyDescent="0.25">
      <c r="A157" s="9">
        <v>45768</v>
      </c>
      <c r="B157" t="s">
        <v>99</v>
      </c>
      <c r="C157" s="5" t="s">
        <v>8</v>
      </c>
      <c r="D157" s="18">
        <v>26</v>
      </c>
      <c r="E157" s="22">
        <v>115</v>
      </c>
      <c r="F157" s="6">
        <v>1090</v>
      </c>
      <c r="G157" s="3">
        <f>SALESTABLE[[#This Row],[Value]]+SALESTABLE[[#This Row],[gst]]</f>
        <v>1286.2</v>
      </c>
      <c r="H157" s="23">
        <f>SALESTABLE[[#This Row],[Value]]*18%</f>
        <v>196.2</v>
      </c>
      <c r="I157" s="23"/>
      <c r="J157" s="15"/>
    </row>
    <row r="158" spans="1:10" hidden="1" x14ac:dyDescent="0.25">
      <c r="A158" s="9">
        <v>45769</v>
      </c>
      <c r="B158" t="s">
        <v>99</v>
      </c>
      <c r="C158" s="5" t="s">
        <v>8</v>
      </c>
      <c r="D158" s="18">
        <v>2</v>
      </c>
      <c r="E158" s="22">
        <v>220</v>
      </c>
      <c r="F158" s="6">
        <v>440</v>
      </c>
      <c r="G158" s="3">
        <f>SALESTABLE[[#This Row],[Value]]+SALESTABLE[[#This Row],[gst]]</f>
        <v>519.20000000000005</v>
      </c>
      <c r="H158" s="23">
        <f>SALESTABLE[[#This Row],[Value]]*18%</f>
        <v>79.2</v>
      </c>
      <c r="I158" s="23"/>
      <c r="J158" s="15"/>
    </row>
    <row r="159" spans="1:10" hidden="1" x14ac:dyDescent="0.25">
      <c r="A159" s="9">
        <v>45769</v>
      </c>
      <c r="B159" s="4" t="s">
        <v>50</v>
      </c>
      <c r="C159" s="5" t="s">
        <v>8</v>
      </c>
      <c r="D159" s="18">
        <v>52</v>
      </c>
      <c r="E159" s="22">
        <v>130</v>
      </c>
      <c r="F159" s="6">
        <v>6760</v>
      </c>
      <c r="G159" s="3">
        <f>SALESTABLE[[#This Row],[Value]]+SALESTABLE[[#This Row],[gst]]</f>
        <v>7976.8</v>
      </c>
      <c r="H159" s="23">
        <f>SALESTABLE[[#This Row],[Value]]*18%</f>
        <v>1216.8</v>
      </c>
      <c r="I159" s="23"/>
      <c r="J159" s="15"/>
    </row>
    <row r="160" spans="1:10" hidden="1" x14ac:dyDescent="0.25">
      <c r="A160" s="9">
        <v>45769</v>
      </c>
      <c r="B160" s="4" t="s">
        <v>42</v>
      </c>
      <c r="C160" s="5" t="s">
        <v>8</v>
      </c>
      <c r="D160" s="18">
        <v>297</v>
      </c>
      <c r="E160" s="22">
        <v>95.84</v>
      </c>
      <c r="F160" s="6">
        <v>28465</v>
      </c>
      <c r="G160" s="3">
        <f>SALESTABLE[[#This Row],[Value]]+SALESTABLE[[#This Row],[gst]]</f>
        <v>33588.699999999997</v>
      </c>
      <c r="H160" s="23">
        <f>SALESTABLE[[#This Row],[Value]]*18%</f>
        <v>5123.7</v>
      </c>
      <c r="I160" s="23"/>
      <c r="J160" s="15"/>
    </row>
    <row r="161" spans="1:10" hidden="1" x14ac:dyDescent="0.25">
      <c r="A161" s="9">
        <v>45769</v>
      </c>
      <c r="B161" s="4" t="s">
        <v>11</v>
      </c>
      <c r="C161" s="5" t="s">
        <v>8</v>
      </c>
      <c r="D161" s="18">
        <v>70</v>
      </c>
      <c r="E161" s="22">
        <v>77.5</v>
      </c>
      <c r="F161" s="6">
        <v>5425</v>
      </c>
      <c r="G161" s="3">
        <f>SALESTABLE[[#This Row],[Value]]+SALESTABLE[[#This Row],[gst]]</f>
        <v>6401.5</v>
      </c>
      <c r="H161" s="23">
        <f>SALESTABLE[[#This Row],[Value]]*18%</f>
        <v>976.5</v>
      </c>
      <c r="I161" s="23"/>
      <c r="J161" s="15"/>
    </row>
    <row r="162" spans="1:10" hidden="1" x14ac:dyDescent="0.25">
      <c r="A162" s="9">
        <v>45769</v>
      </c>
      <c r="B162" s="4" t="s">
        <v>103</v>
      </c>
      <c r="C162" s="5" t="s">
        <v>8</v>
      </c>
      <c r="D162" s="18">
        <v>26</v>
      </c>
      <c r="E162" s="22">
        <v>115</v>
      </c>
      <c r="F162" s="6">
        <v>11375</v>
      </c>
      <c r="G162" s="3">
        <f>SALESTABLE[[#This Row],[Value]]+SALESTABLE[[#This Row],[gst]]</f>
        <v>13422.5</v>
      </c>
      <c r="H162" s="23">
        <f>SALESTABLE[[#This Row],[Value]]*18%</f>
        <v>2047.5</v>
      </c>
      <c r="I162" s="23"/>
      <c r="J162" s="15"/>
    </row>
    <row r="163" spans="1:10" hidden="1" x14ac:dyDescent="0.25">
      <c r="A163" s="9">
        <v>45769</v>
      </c>
      <c r="B163" s="4" t="s">
        <v>93</v>
      </c>
      <c r="C163" s="5" t="s">
        <v>8</v>
      </c>
      <c r="D163" s="18">
        <v>10</v>
      </c>
      <c r="E163" s="22">
        <v>60</v>
      </c>
      <c r="F163" s="6">
        <v>600</v>
      </c>
      <c r="G163" s="3">
        <f>SALESTABLE[[#This Row],[Value]]+SALESTABLE[[#This Row],[gst]]</f>
        <v>708</v>
      </c>
      <c r="H163" s="23">
        <f>SALESTABLE[[#This Row],[Value]]*18%</f>
        <v>108</v>
      </c>
      <c r="I163" s="23"/>
      <c r="J163" s="15"/>
    </row>
    <row r="164" spans="1:10" hidden="1" x14ac:dyDescent="0.25">
      <c r="A164" s="9">
        <v>45769</v>
      </c>
      <c r="B164" s="4" t="s">
        <v>96</v>
      </c>
      <c r="C164" s="5" t="s">
        <v>8</v>
      </c>
      <c r="D164" s="18">
        <v>70</v>
      </c>
      <c r="E164" s="22">
        <v>62</v>
      </c>
      <c r="F164" s="6">
        <v>4340</v>
      </c>
      <c r="G164" s="3">
        <f>SALESTABLE[[#This Row],[Value]]+SALESTABLE[[#This Row],[gst]]</f>
        <v>5121.2</v>
      </c>
      <c r="H164" s="23">
        <f>SALESTABLE[[#This Row],[Value]]*18%</f>
        <v>781.19999999999993</v>
      </c>
      <c r="I164" s="23"/>
      <c r="J164" s="15"/>
    </row>
    <row r="165" spans="1:10" hidden="1" x14ac:dyDescent="0.25">
      <c r="A165" s="9">
        <v>45769</v>
      </c>
      <c r="B165" s="4" t="s">
        <v>23</v>
      </c>
      <c r="C165" s="5" t="s">
        <v>8</v>
      </c>
      <c r="D165" s="18">
        <v>5</v>
      </c>
      <c r="E165" s="22">
        <v>90</v>
      </c>
      <c r="F165" s="6">
        <v>450</v>
      </c>
      <c r="G165" s="3">
        <f>SALESTABLE[[#This Row],[Value]]+SALESTABLE[[#This Row],[gst]]</f>
        <v>531</v>
      </c>
      <c r="H165" s="23">
        <f>SALESTABLE[[#This Row],[Value]]*18%</f>
        <v>81</v>
      </c>
      <c r="I165" s="23"/>
      <c r="J165" s="15"/>
    </row>
    <row r="166" spans="1:10" hidden="1" x14ac:dyDescent="0.25">
      <c r="A166" s="9">
        <v>45769</v>
      </c>
      <c r="B166" s="4" t="s">
        <v>56</v>
      </c>
      <c r="C166" s="5" t="s">
        <v>8</v>
      </c>
      <c r="D166" s="18">
        <v>26</v>
      </c>
      <c r="E166" s="22">
        <v>130</v>
      </c>
      <c r="F166" s="6">
        <v>3380</v>
      </c>
      <c r="G166" s="3">
        <f>SALESTABLE[[#This Row],[Value]]+SALESTABLE[[#This Row],[gst]]</f>
        <v>3988.4</v>
      </c>
      <c r="H166" s="23">
        <f>SALESTABLE[[#This Row],[Value]]*18%</f>
        <v>608.4</v>
      </c>
      <c r="I166" s="23"/>
      <c r="J166" s="15"/>
    </row>
    <row r="167" spans="1:10" hidden="1" x14ac:dyDescent="0.25">
      <c r="A167" s="9">
        <v>45769</v>
      </c>
      <c r="B167" s="4" t="s">
        <v>93</v>
      </c>
      <c r="C167" s="5" t="s">
        <v>8</v>
      </c>
      <c r="D167" s="18">
        <v>78</v>
      </c>
      <c r="E167" s="22">
        <v>120</v>
      </c>
      <c r="F167" s="6">
        <v>9360</v>
      </c>
      <c r="G167" s="3">
        <f>SALESTABLE[[#This Row],[Value]]+SALESTABLE[[#This Row],[gst]]</f>
        <v>11044.8</v>
      </c>
      <c r="H167" s="23">
        <f>SALESTABLE[[#This Row],[Value]]*18%</f>
        <v>1684.8</v>
      </c>
      <c r="I167" s="23"/>
      <c r="J167" s="15"/>
    </row>
    <row r="168" spans="1:10" hidden="1" x14ac:dyDescent="0.25">
      <c r="A168" s="9">
        <v>45769</v>
      </c>
      <c r="B168" s="4" t="s">
        <v>89</v>
      </c>
      <c r="C168" s="5" t="s">
        <v>8</v>
      </c>
      <c r="D168" s="18">
        <v>26</v>
      </c>
      <c r="E168" s="22">
        <v>210</v>
      </c>
      <c r="F168" s="6">
        <v>5460</v>
      </c>
      <c r="G168" s="3">
        <f>SALESTABLE[[#This Row],[Value]]+SALESTABLE[[#This Row],[gst]]</f>
        <v>6442.8</v>
      </c>
      <c r="H168" s="23">
        <f>SALESTABLE[[#This Row],[Value]]*18%</f>
        <v>982.8</v>
      </c>
      <c r="I168" s="23"/>
      <c r="J168" s="15"/>
    </row>
    <row r="169" spans="1:10" hidden="1" x14ac:dyDescent="0.25">
      <c r="A169" s="9">
        <v>45770</v>
      </c>
      <c r="B169" s="4" t="s">
        <v>95</v>
      </c>
      <c r="C169" s="5" t="s">
        <v>8</v>
      </c>
      <c r="D169" s="18">
        <v>220</v>
      </c>
      <c r="E169" s="22">
        <v>55</v>
      </c>
      <c r="F169" s="6">
        <v>12100</v>
      </c>
      <c r="G169" s="3">
        <f>SALESTABLE[[#This Row],[Value]]+SALESTABLE[[#This Row],[gst]]</f>
        <v>14278</v>
      </c>
      <c r="H169" s="23">
        <f>SALESTABLE[[#This Row],[Value]]*18%</f>
        <v>2178</v>
      </c>
      <c r="I169" s="23"/>
      <c r="J169" s="15"/>
    </row>
    <row r="170" spans="1:10" hidden="1" x14ac:dyDescent="0.25">
      <c r="A170" s="9">
        <v>45770</v>
      </c>
      <c r="B170" s="4" t="s">
        <v>63</v>
      </c>
      <c r="C170" s="5" t="s">
        <v>8</v>
      </c>
      <c r="D170" s="18">
        <v>60</v>
      </c>
      <c r="E170" s="22">
        <v>320</v>
      </c>
      <c r="F170" s="6">
        <v>19200</v>
      </c>
      <c r="G170" s="3">
        <f>SALESTABLE[[#This Row],[Value]]+SALESTABLE[[#This Row],[gst]]</f>
        <v>22656</v>
      </c>
      <c r="H170" s="23">
        <f>SALESTABLE[[#This Row],[Value]]*18%</f>
        <v>3456</v>
      </c>
      <c r="I170" s="23"/>
      <c r="J170" s="15"/>
    </row>
    <row r="171" spans="1:10" hidden="1" x14ac:dyDescent="0.25">
      <c r="A171" s="9">
        <v>45770</v>
      </c>
      <c r="B171" s="4" t="s">
        <v>84</v>
      </c>
      <c r="C171" s="5" t="s">
        <v>8</v>
      </c>
      <c r="D171" s="18">
        <v>10</v>
      </c>
      <c r="E171" s="22">
        <v>120</v>
      </c>
      <c r="F171" s="6">
        <v>1200</v>
      </c>
      <c r="G171" s="3">
        <f>SALESTABLE[[#This Row],[Value]]+SALESTABLE[[#This Row],[gst]]</f>
        <v>1416</v>
      </c>
      <c r="H171" s="23">
        <f>SALESTABLE[[#This Row],[Value]]*18%</f>
        <v>216</v>
      </c>
      <c r="I171" s="23"/>
      <c r="J171" s="15"/>
    </row>
    <row r="172" spans="1:10" hidden="1" x14ac:dyDescent="0.25">
      <c r="A172" s="9">
        <v>45770</v>
      </c>
      <c r="B172" s="4" t="s">
        <v>24</v>
      </c>
      <c r="C172" s="5" t="s">
        <v>8</v>
      </c>
      <c r="D172" s="18">
        <v>26</v>
      </c>
      <c r="E172" s="22">
        <v>115</v>
      </c>
      <c r="F172" s="6">
        <v>440</v>
      </c>
      <c r="G172" s="3">
        <f>SALESTABLE[[#This Row],[Value]]+SALESTABLE[[#This Row],[gst]]</f>
        <v>519.20000000000005</v>
      </c>
      <c r="H172" s="23">
        <f>SALESTABLE[[#This Row],[Value]]*18%</f>
        <v>79.2</v>
      </c>
      <c r="I172" s="23"/>
      <c r="J172" s="15"/>
    </row>
    <row r="173" spans="1:10" hidden="1" x14ac:dyDescent="0.25">
      <c r="A173" s="9">
        <v>45770</v>
      </c>
      <c r="B173" t="s">
        <v>99</v>
      </c>
      <c r="C173" s="5" t="s">
        <v>8</v>
      </c>
      <c r="D173" s="18">
        <v>2</v>
      </c>
      <c r="E173" s="22">
        <v>282</v>
      </c>
      <c r="F173" s="6">
        <v>564</v>
      </c>
      <c r="G173" s="3">
        <f>SALESTABLE[[#This Row],[Value]]+SALESTABLE[[#This Row],[gst]]</f>
        <v>665.52</v>
      </c>
      <c r="H173" s="23">
        <f>SALESTABLE[[#This Row],[Value]]*18%</f>
        <v>101.52</v>
      </c>
      <c r="I173" s="23"/>
    </row>
    <row r="174" spans="1:10" hidden="1" x14ac:dyDescent="0.25">
      <c r="A174" s="9">
        <v>45770</v>
      </c>
      <c r="B174" s="4" t="s">
        <v>102</v>
      </c>
      <c r="C174" s="5" t="s">
        <v>8</v>
      </c>
      <c r="D174" s="18">
        <v>4</v>
      </c>
      <c r="E174" s="22">
        <v>245</v>
      </c>
      <c r="F174" s="6">
        <v>980</v>
      </c>
      <c r="G174" s="3">
        <f>SALESTABLE[[#This Row],[Value]]+SALESTABLE[[#This Row],[gst]]</f>
        <v>1156.4000000000001</v>
      </c>
      <c r="H174" s="23">
        <f>SALESTABLE[[#This Row],[Value]]*18%</f>
        <v>176.4</v>
      </c>
      <c r="I174" s="23"/>
    </row>
    <row r="175" spans="1:10" hidden="1" x14ac:dyDescent="0.25">
      <c r="A175" s="9">
        <v>45770</v>
      </c>
      <c r="B175" s="4" t="s">
        <v>96</v>
      </c>
      <c r="C175" s="5" t="s">
        <v>8</v>
      </c>
      <c r="D175" s="18">
        <v>210</v>
      </c>
      <c r="E175" s="22">
        <v>62</v>
      </c>
      <c r="F175" s="6">
        <v>13020</v>
      </c>
      <c r="G175" s="3">
        <f>SALESTABLE[[#This Row],[Value]]+SALESTABLE[[#This Row],[gst]]</f>
        <v>15363.6</v>
      </c>
      <c r="H175" s="23">
        <f>SALESTABLE[[#This Row],[Value]]*18%</f>
        <v>2343.6</v>
      </c>
      <c r="I175" s="23"/>
    </row>
    <row r="176" spans="1:10" hidden="1" x14ac:dyDescent="0.25">
      <c r="A176" s="9">
        <v>45770</v>
      </c>
      <c r="B176" s="4" t="s">
        <v>56</v>
      </c>
      <c r="C176" s="5" t="s">
        <v>8</v>
      </c>
      <c r="D176" s="18">
        <v>30</v>
      </c>
      <c r="E176" s="22">
        <v>175</v>
      </c>
      <c r="F176" s="6">
        <v>5250</v>
      </c>
      <c r="G176" s="3">
        <f>SALESTABLE[[#This Row],[Value]]+SALESTABLE[[#This Row],[gst]]</f>
        <v>6195</v>
      </c>
      <c r="H176" s="23">
        <f>SALESTABLE[[#This Row],[Value]]*18%</f>
        <v>945</v>
      </c>
      <c r="I176" s="23"/>
    </row>
    <row r="177" spans="1:9" hidden="1" x14ac:dyDescent="0.25">
      <c r="A177" s="9">
        <v>45770</v>
      </c>
      <c r="B177" s="4" t="s">
        <v>93</v>
      </c>
      <c r="C177" s="5" t="s">
        <v>8</v>
      </c>
      <c r="D177" s="18">
        <v>26</v>
      </c>
      <c r="E177" s="22">
        <v>115</v>
      </c>
      <c r="F177" s="6">
        <v>2990</v>
      </c>
      <c r="G177" s="3">
        <f>SALESTABLE[[#This Row],[Value]]+SALESTABLE[[#This Row],[gst]]</f>
        <v>3528.2</v>
      </c>
      <c r="H177" s="23">
        <f>SALESTABLE[[#This Row],[Value]]*18%</f>
        <v>538.19999999999993</v>
      </c>
      <c r="I177" s="23"/>
    </row>
    <row r="178" spans="1:9" hidden="1" x14ac:dyDescent="0.25">
      <c r="A178" s="9">
        <v>45770</v>
      </c>
      <c r="B178" t="s">
        <v>99</v>
      </c>
      <c r="C178" s="5" t="s">
        <v>8</v>
      </c>
      <c r="D178" s="18">
        <v>2</v>
      </c>
      <c r="E178" s="22">
        <v>200</v>
      </c>
      <c r="F178" s="6">
        <v>400</v>
      </c>
      <c r="G178" s="3">
        <f>SALESTABLE[[#This Row],[Value]]+SALESTABLE[[#This Row],[gst]]</f>
        <v>472</v>
      </c>
      <c r="H178" s="23">
        <f>SALESTABLE[[#This Row],[Value]]*18%</f>
        <v>72</v>
      </c>
      <c r="I178" s="23"/>
    </row>
    <row r="179" spans="1:9" hidden="1" x14ac:dyDescent="0.25">
      <c r="A179" s="9">
        <v>45772</v>
      </c>
      <c r="B179" s="4" t="s">
        <v>9</v>
      </c>
      <c r="C179" s="5" t="s">
        <v>8</v>
      </c>
      <c r="D179" s="18">
        <v>31</v>
      </c>
      <c r="E179" s="22">
        <v>111.61</v>
      </c>
      <c r="F179" s="6">
        <v>3460</v>
      </c>
      <c r="G179" s="3">
        <f>SALESTABLE[[#This Row],[Value]]+SALESTABLE[[#This Row],[gst]]</f>
        <v>4082.8</v>
      </c>
      <c r="H179" s="23">
        <f>SALESTABLE[[#This Row],[Value]]*18%</f>
        <v>622.79999999999995</v>
      </c>
      <c r="I179" s="23"/>
    </row>
    <row r="180" spans="1:9" hidden="1" x14ac:dyDescent="0.25">
      <c r="A180" s="9">
        <v>45772</v>
      </c>
      <c r="B180" s="4" t="s">
        <v>93</v>
      </c>
      <c r="C180" s="5" t="s">
        <v>8</v>
      </c>
      <c r="D180" s="18">
        <v>139</v>
      </c>
      <c r="E180" s="22">
        <v>98.98</v>
      </c>
      <c r="F180" s="6">
        <v>13758</v>
      </c>
      <c r="G180" s="3">
        <f>SALESTABLE[[#This Row],[Value]]+SALESTABLE[[#This Row],[gst]]</f>
        <v>16234.44</v>
      </c>
      <c r="H180" s="23">
        <f>SALESTABLE[[#This Row],[Value]]*18%</f>
        <v>2476.44</v>
      </c>
      <c r="I180" s="23"/>
    </row>
    <row r="181" spans="1:9" hidden="1" x14ac:dyDescent="0.25">
      <c r="A181" s="9">
        <v>45772</v>
      </c>
      <c r="B181" t="s">
        <v>99</v>
      </c>
      <c r="C181" s="5" t="s">
        <v>8</v>
      </c>
      <c r="D181" s="18">
        <v>262</v>
      </c>
      <c r="E181" s="22">
        <v>128.81</v>
      </c>
      <c r="F181" s="6">
        <v>33748</v>
      </c>
      <c r="G181" s="3">
        <f>SALESTABLE[[#This Row],[Value]]+SALESTABLE[[#This Row],[gst]]</f>
        <v>39822.639999999999</v>
      </c>
      <c r="H181" s="23">
        <f>SALESTABLE[[#This Row],[Value]]*18%</f>
        <v>6074.6399999999994</v>
      </c>
      <c r="I181" s="23"/>
    </row>
    <row r="182" spans="1:9" hidden="1" x14ac:dyDescent="0.25">
      <c r="A182" s="9">
        <v>45772</v>
      </c>
      <c r="B182" s="4" t="s">
        <v>9</v>
      </c>
      <c r="C182" s="5" t="s">
        <v>8</v>
      </c>
      <c r="D182" s="18">
        <v>26</v>
      </c>
      <c r="E182" s="22">
        <v>110</v>
      </c>
      <c r="F182" s="6">
        <v>2860</v>
      </c>
      <c r="G182" s="3">
        <f>SALESTABLE[[#This Row],[Value]]+SALESTABLE[[#This Row],[gst]]</f>
        <v>3374.8</v>
      </c>
      <c r="H182" s="23">
        <f>SALESTABLE[[#This Row],[Value]]*18%</f>
        <v>514.79999999999995</v>
      </c>
      <c r="I182" s="23"/>
    </row>
    <row r="183" spans="1:9" hidden="1" x14ac:dyDescent="0.25">
      <c r="A183" s="9">
        <v>45772</v>
      </c>
      <c r="B183" t="s">
        <v>99</v>
      </c>
      <c r="C183" s="5" t="s">
        <v>8</v>
      </c>
      <c r="D183" s="18">
        <v>78</v>
      </c>
      <c r="E183" s="22">
        <v>192</v>
      </c>
      <c r="F183" s="6">
        <v>14976</v>
      </c>
      <c r="G183" s="3">
        <f>SALESTABLE[[#This Row],[Value]]+SALESTABLE[[#This Row],[gst]]</f>
        <v>17671.68</v>
      </c>
      <c r="H183" s="23">
        <f>SALESTABLE[[#This Row],[Value]]*18%</f>
        <v>2695.68</v>
      </c>
      <c r="I183" s="23"/>
    </row>
    <row r="184" spans="1:9" hidden="1" x14ac:dyDescent="0.25">
      <c r="A184" s="9">
        <v>45772</v>
      </c>
      <c r="B184" s="4" t="s">
        <v>15</v>
      </c>
      <c r="C184" s="5" t="s">
        <v>8</v>
      </c>
      <c r="D184" s="18">
        <v>210</v>
      </c>
      <c r="E184" s="22">
        <v>100</v>
      </c>
      <c r="F184" s="6">
        <v>21000</v>
      </c>
      <c r="G184" s="3">
        <f>SALESTABLE[[#This Row],[Value]]+SALESTABLE[[#This Row],[gst]]</f>
        <v>24780</v>
      </c>
      <c r="H184" s="23">
        <f>SALESTABLE[[#This Row],[Value]]*18%</f>
        <v>3780</v>
      </c>
      <c r="I184" s="23"/>
    </row>
    <row r="185" spans="1:9" hidden="1" x14ac:dyDescent="0.25">
      <c r="A185" s="9">
        <v>45772</v>
      </c>
      <c r="B185" s="4" t="s">
        <v>75</v>
      </c>
      <c r="C185" s="5" t="s">
        <v>8</v>
      </c>
      <c r="D185" s="18">
        <v>35</v>
      </c>
      <c r="E185" s="22">
        <v>118</v>
      </c>
      <c r="F185" s="6">
        <v>4130</v>
      </c>
      <c r="G185" s="3">
        <f>SALESTABLE[[#This Row],[Value]]+SALESTABLE[[#This Row],[gst]]</f>
        <v>4873.3999999999996</v>
      </c>
      <c r="H185" s="23">
        <f>SALESTABLE[[#This Row],[Value]]*18%</f>
        <v>743.4</v>
      </c>
      <c r="I185" s="23"/>
    </row>
    <row r="186" spans="1:9" hidden="1" x14ac:dyDescent="0.25">
      <c r="A186" s="9">
        <v>45772</v>
      </c>
      <c r="B186" s="4" t="s">
        <v>94</v>
      </c>
      <c r="C186" s="5" t="s">
        <v>8</v>
      </c>
      <c r="D186" s="18">
        <v>26</v>
      </c>
      <c r="E186" s="22">
        <v>115</v>
      </c>
      <c r="F186" s="6">
        <v>31620</v>
      </c>
      <c r="G186" s="3">
        <f>SALESTABLE[[#This Row],[Value]]+SALESTABLE[[#This Row],[gst]]</f>
        <v>37311.599999999999</v>
      </c>
      <c r="H186" s="23">
        <f>SALESTABLE[[#This Row],[Value]]*18%</f>
        <v>5691.5999999999995</v>
      </c>
      <c r="I186" s="23"/>
    </row>
    <row r="187" spans="1:9" hidden="1" x14ac:dyDescent="0.25">
      <c r="A187" s="9">
        <v>45772</v>
      </c>
      <c r="B187" t="s">
        <v>99</v>
      </c>
      <c r="C187" s="5" t="s">
        <v>8</v>
      </c>
      <c r="D187" s="18">
        <v>3150</v>
      </c>
      <c r="E187" s="22">
        <v>61</v>
      </c>
      <c r="F187" s="6">
        <v>192150</v>
      </c>
      <c r="G187" s="3">
        <f>SALESTABLE[[#This Row],[Value]]+SALESTABLE[[#This Row],[gst]]</f>
        <v>226737</v>
      </c>
      <c r="H187" s="23">
        <f>SALESTABLE[[#This Row],[Value]]*18%</f>
        <v>34587</v>
      </c>
      <c r="I187" s="23"/>
    </row>
    <row r="188" spans="1:9" hidden="1" x14ac:dyDescent="0.25">
      <c r="A188" s="9">
        <v>45772</v>
      </c>
      <c r="B188" s="4" t="s">
        <v>53</v>
      </c>
      <c r="C188" s="5" t="s">
        <v>8</v>
      </c>
      <c r="D188" s="18">
        <v>210</v>
      </c>
      <c r="E188" s="22">
        <v>104</v>
      </c>
      <c r="F188" s="6">
        <v>21840</v>
      </c>
      <c r="G188" s="3">
        <f>SALESTABLE[[#This Row],[Value]]+SALESTABLE[[#This Row],[gst]]</f>
        <v>25771.200000000001</v>
      </c>
      <c r="H188" s="23">
        <f>SALESTABLE[[#This Row],[Value]]*18%</f>
        <v>3931.2</v>
      </c>
      <c r="I188" s="23"/>
    </row>
    <row r="189" spans="1:9" hidden="1" x14ac:dyDescent="0.25">
      <c r="A189" s="9">
        <v>45772</v>
      </c>
      <c r="B189" t="s">
        <v>99</v>
      </c>
      <c r="C189" s="5" t="s">
        <v>8</v>
      </c>
      <c r="D189" s="18">
        <v>26</v>
      </c>
      <c r="E189" s="22">
        <v>120</v>
      </c>
      <c r="F189" s="6">
        <v>3120</v>
      </c>
      <c r="G189" s="3">
        <f>SALESTABLE[[#This Row],[Value]]+SALESTABLE[[#This Row],[gst]]</f>
        <v>3681.6</v>
      </c>
      <c r="H189" s="23">
        <f>SALESTABLE[[#This Row],[Value]]*18%</f>
        <v>561.6</v>
      </c>
      <c r="I189" s="23"/>
    </row>
    <row r="190" spans="1:9" hidden="1" x14ac:dyDescent="0.25">
      <c r="A190" s="9">
        <v>45772</v>
      </c>
      <c r="B190" s="4" t="s">
        <v>94</v>
      </c>
      <c r="C190" s="5" t="s">
        <v>8</v>
      </c>
      <c r="D190" s="18">
        <v>35</v>
      </c>
      <c r="E190" s="22">
        <v>90</v>
      </c>
      <c r="F190" s="6">
        <v>3150</v>
      </c>
      <c r="G190" s="3">
        <f>SALESTABLE[[#This Row],[Value]]+SALESTABLE[[#This Row],[gst]]</f>
        <v>3717</v>
      </c>
      <c r="H190" s="23">
        <f>SALESTABLE[[#This Row],[Value]]*18%</f>
        <v>567</v>
      </c>
      <c r="I190" s="23"/>
    </row>
    <row r="191" spans="1:9" hidden="1" x14ac:dyDescent="0.25">
      <c r="A191" s="9">
        <v>45773</v>
      </c>
      <c r="B191" t="s">
        <v>99</v>
      </c>
      <c r="C191" s="5" t="s">
        <v>8</v>
      </c>
      <c r="D191" s="18">
        <v>26</v>
      </c>
      <c r="E191" s="22">
        <v>79</v>
      </c>
      <c r="F191" s="6">
        <v>2054</v>
      </c>
      <c r="G191" s="3">
        <f>SALESTABLE[[#This Row],[Value]]+SALESTABLE[[#This Row],[gst]]</f>
        <v>2423.7199999999998</v>
      </c>
      <c r="H191" s="23">
        <f>SALESTABLE[[#This Row],[Value]]*18%</f>
        <v>369.71999999999997</v>
      </c>
      <c r="I191" s="23"/>
    </row>
    <row r="192" spans="1:9" hidden="1" x14ac:dyDescent="0.25">
      <c r="A192" s="9">
        <v>45773</v>
      </c>
      <c r="B192" s="4" t="s">
        <v>59</v>
      </c>
      <c r="C192" s="5" t="s">
        <v>8</v>
      </c>
      <c r="D192" s="18">
        <v>26</v>
      </c>
      <c r="E192" s="22">
        <v>100</v>
      </c>
      <c r="F192" s="6">
        <v>2600</v>
      </c>
      <c r="G192" s="3">
        <f>SALESTABLE[[#This Row],[Value]]+SALESTABLE[[#This Row],[gst]]</f>
        <v>3068</v>
      </c>
      <c r="H192" s="23">
        <f>SALESTABLE[[#This Row],[Value]]*18%</f>
        <v>468</v>
      </c>
      <c r="I192" s="23"/>
    </row>
    <row r="193" spans="1:9" hidden="1" x14ac:dyDescent="0.25">
      <c r="A193" s="9">
        <v>45773</v>
      </c>
      <c r="B193" s="4" t="s">
        <v>91</v>
      </c>
      <c r="C193" s="5" t="s">
        <v>8</v>
      </c>
      <c r="D193" s="18">
        <v>26</v>
      </c>
      <c r="E193" s="22">
        <v>112</v>
      </c>
      <c r="F193" s="6">
        <v>2912</v>
      </c>
      <c r="G193" s="3">
        <f>SALESTABLE[[#This Row],[Value]]+SALESTABLE[[#This Row],[gst]]</f>
        <v>3436.16</v>
      </c>
      <c r="H193" s="23">
        <f>SALESTABLE[[#This Row],[Value]]*18%</f>
        <v>524.16</v>
      </c>
      <c r="I193" s="23"/>
    </row>
    <row r="194" spans="1:9" hidden="1" x14ac:dyDescent="0.25">
      <c r="A194" s="9">
        <v>45773</v>
      </c>
      <c r="B194" t="s">
        <v>99</v>
      </c>
      <c r="C194" s="5" t="s">
        <v>8</v>
      </c>
      <c r="D194" s="18">
        <v>52</v>
      </c>
      <c r="E194" s="22">
        <v>120</v>
      </c>
      <c r="F194" s="6">
        <v>6240</v>
      </c>
      <c r="G194" s="3">
        <f>SALESTABLE[[#This Row],[Value]]+SALESTABLE[[#This Row],[gst]]</f>
        <v>7363.2</v>
      </c>
      <c r="H194" s="23">
        <f>SALESTABLE[[#This Row],[Value]]*18%</f>
        <v>1123.2</v>
      </c>
      <c r="I194" s="23"/>
    </row>
    <row r="195" spans="1:9" hidden="1" x14ac:dyDescent="0.25">
      <c r="A195" s="9">
        <v>45773</v>
      </c>
      <c r="B195" s="4" t="s">
        <v>86</v>
      </c>
      <c r="C195" s="5" t="s">
        <v>8</v>
      </c>
      <c r="D195" s="18">
        <v>240</v>
      </c>
      <c r="E195" s="22">
        <v>93.13</v>
      </c>
      <c r="F195" s="6">
        <v>22350</v>
      </c>
      <c r="G195" s="3">
        <f>SALESTABLE[[#This Row],[Value]]+SALESTABLE[[#This Row],[gst]]</f>
        <v>26373</v>
      </c>
      <c r="H195" s="23">
        <f>SALESTABLE[[#This Row],[Value]]*18%</f>
        <v>4023</v>
      </c>
      <c r="I195" s="23"/>
    </row>
    <row r="196" spans="1:9" hidden="1" x14ac:dyDescent="0.25">
      <c r="A196" s="9">
        <v>45773</v>
      </c>
      <c r="B196" t="s">
        <v>99</v>
      </c>
      <c r="C196" s="5" t="s">
        <v>8</v>
      </c>
      <c r="D196" s="18">
        <v>26</v>
      </c>
      <c r="E196" s="22">
        <v>132</v>
      </c>
      <c r="F196" s="6">
        <v>3432</v>
      </c>
      <c r="G196" s="3">
        <f>SALESTABLE[[#This Row],[Value]]+SALESTABLE[[#This Row],[gst]]</f>
        <v>4049.76</v>
      </c>
      <c r="H196" s="23">
        <f>SALESTABLE[[#This Row],[Value]]*18%</f>
        <v>617.76</v>
      </c>
      <c r="I196" s="23"/>
    </row>
    <row r="197" spans="1:9" hidden="1" x14ac:dyDescent="0.25">
      <c r="A197" s="9">
        <v>45773</v>
      </c>
      <c r="B197" t="s">
        <v>99</v>
      </c>
      <c r="C197" s="5" t="s">
        <v>8</v>
      </c>
      <c r="D197" s="18">
        <v>210</v>
      </c>
      <c r="E197" s="22">
        <v>105</v>
      </c>
      <c r="F197" s="6">
        <v>22050</v>
      </c>
      <c r="G197" s="3">
        <f>SALESTABLE[[#This Row],[Value]]+SALESTABLE[[#This Row],[gst]]</f>
        <v>26019</v>
      </c>
      <c r="H197" s="23">
        <f>SALESTABLE[[#This Row],[Value]]*18%</f>
        <v>3969</v>
      </c>
      <c r="I197" s="23"/>
    </row>
    <row r="198" spans="1:9" hidden="1" x14ac:dyDescent="0.25">
      <c r="A198" s="9">
        <v>45773</v>
      </c>
      <c r="B198" t="s">
        <v>99</v>
      </c>
      <c r="C198" s="5" t="s">
        <v>8</v>
      </c>
      <c r="D198" s="18">
        <v>20</v>
      </c>
      <c r="E198" s="22">
        <v>90</v>
      </c>
      <c r="F198" s="6">
        <v>1800</v>
      </c>
      <c r="G198" s="3">
        <f>SALESTABLE[[#This Row],[Value]]+SALESTABLE[[#This Row],[gst]]</f>
        <v>2124</v>
      </c>
      <c r="H198" s="23">
        <f>SALESTABLE[[#This Row],[Value]]*18%</f>
        <v>324</v>
      </c>
      <c r="I198" s="23"/>
    </row>
    <row r="199" spans="1:9" hidden="1" x14ac:dyDescent="0.25">
      <c r="A199" s="9">
        <v>45773</v>
      </c>
      <c r="B199" s="4" t="s">
        <v>96</v>
      </c>
      <c r="C199" s="5" t="s">
        <v>8</v>
      </c>
      <c r="D199" s="18">
        <v>78</v>
      </c>
      <c r="E199" s="22">
        <v>196.67</v>
      </c>
      <c r="F199" s="6">
        <v>15340</v>
      </c>
      <c r="G199" s="3">
        <f>SALESTABLE[[#This Row],[Value]]+SALESTABLE[[#This Row],[gst]]</f>
        <v>18101.2</v>
      </c>
      <c r="H199" s="23">
        <f>SALESTABLE[[#This Row],[Value]]*18%</f>
        <v>2761.2</v>
      </c>
      <c r="I199" s="23"/>
    </row>
    <row r="200" spans="1:9" hidden="1" x14ac:dyDescent="0.25">
      <c r="A200" s="9">
        <v>45773</v>
      </c>
      <c r="B200" s="4" t="s">
        <v>94</v>
      </c>
      <c r="C200" s="5" t="s">
        <v>8</v>
      </c>
      <c r="D200" s="18">
        <v>36</v>
      </c>
      <c r="E200" s="22">
        <v>108</v>
      </c>
      <c r="F200" s="6">
        <v>3888</v>
      </c>
      <c r="G200" s="3">
        <f>SALESTABLE[[#This Row],[Value]]+SALESTABLE[[#This Row],[gst]]</f>
        <v>4587.84</v>
      </c>
      <c r="H200" s="23">
        <f>SALESTABLE[[#This Row],[Value]]*18%</f>
        <v>699.83999999999992</v>
      </c>
      <c r="I200" s="23"/>
    </row>
    <row r="201" spans="1:9" hidden="1" x14ac:dyDescent="0.25">
      <c r="A201" s="9">
        <v>45773</v>
      </c>
      <c r="B201" t="s">
        <v>99</v>
      </c>
      <c r="C201" s="5" t="s">
        <v>8</v>
      </c>
      <c r="D201" s="18">
        <v>65</v>
      </c>
      <c r="E201" s="22">
        <v>93.46</v>
      </c>
      <c r="F201" s="6">
        <v>6075</v>
      </c>
      <c r="G201" s="3">
        <f>SALESTABLE[[#This Row],[Value]]+SALESTABLE[[#This Row],[gst]]</f>
        <v>7168.5</v>
      </c>
      <c r="H201" s="23">
        <f>SALESTABLE[[#This Row],[Value]]*18%</f>
        <v>1093.5</v>
      </c>
      <c r="I201" s="23"/>
    </row>
    <row r="202" spans="1:9" hidden="1" x14ac:dyDescent="0.25">
      <c r="A202" s="9">
        <v>45774</v>
      </c>
      <c r="B202" s="4" t="s">
        <v>86</v>
      </c>
      <c r="C202" s="5" t="s">
        <v>8</v>
      </c>
      <c r="D202" s="18">
        <v>210</v>
      </c>
      <c r="E202" s="22">
        <v>80</v>
      </c>
      <c r="F202" s="6">
        <v>16800</v>
      </c>
      <c r="G202" s="3">
        <f>SALESTABLE[[#This Row],[Value]]+SALESTABLE[[#This Row],[gst]]</f>
        <v>19824</v>
      </c>
      <c r="H202" s="23">
        <f>SALESTABLE[[#This Row],[Value]]*18%</f>
        <v>3024</v>
      </c>
      <c r="I202" s="23"/>
    </row>
    <row r="203" spans="1:9" hidden="1" x14ac:dyDescent="0.25">
      <c r="A203" s="9">
        <v>45774</v>
      </c>
      <c r="B203" s="4" t="s">
        <v>63</v>
      </c>
      <c r="C203" s="5" t="s">
        <v>8</v>
      </c>
      <c r="D203" s="18">
        <v>405</v>
      </c>
      <c r="E203" s="22">
        <v>176.78</v>
      </c>
      <c r="F203" s="6">
        <v>71595</v>
      </c>
      <c r="G203" s="3">
        <f>SALESTABLE[[#This Row],[Value]]+SALESTABLE[[#This Row],[gst]]</f>
        <v>84482.1</v>
      </c>
      <c r="H203" s="23">
        <f>SALESTABLE[[#This Row],[Value]]*18%</f>
        <v>12887.1</v>
      </c>
      <c r="I203" s="23"/>
    </row>
    <row r="204" spans="1:9" hidden="1" x14ac:dyDescent="0.25">
      <c r="A204" s="9">
        <v>45774</v>
      </c>
      <c r="B204" s="4" t="s">
        <v>88</v>
      </c>
      <c r="C204" s="5" t="s">
        <v>8</v>
      </c>
      <c r="D204" s="18">
        <v>52</v>
      </c>
      <c r="E204" s="22">
        <v>120</v>
      </c>
      <c r="F204" s="6">
        <v>6240</v>
      </c>
      <c r="G204" s="3">
        <f>SALESTABLE[[#This Row],[Value]]+SALESTABLE[[#This Row],[gst]]</f>
        <v>7363.2</v>
      </c>
      <c r="H204" s="23">
        <f>SALESTABLE[[#This Row],[Value]]*18%</f>
        <v>1123.2</v>
      </c>
      <c r="I204" s="23"/>
    </row>
    <row r="205" spans="1:9" hidden="1" x14ac:dyDescent="0.25">
      <c r="A205" s="9">
        <v>45774</v>
      </c>
      <c r="B205" t="s">
        <v>99</v>
      </c>
      <c r="C205" s="5" t="s">
        <v>8</v>
      </c>
      <c r="D205" s="18">
        <v>420</v>
      </c>
      <c r="E205" s="22">
        <v>71</v>
      </c>
      <c r="F205" s="6">
        <v>29820</v>
      </c>
      <c r="G205" s="3">
        <f>SALESTABLE[[#This Row],[Value]]+SALESTABLE[[#This Row],[gst]]</f>
        <v>35187.599999999999</v>
      </c>
      <c r="H205" s="23">
        <f>SALESTABLE[[#This Row],[Value]]*18%</f>
        <v>5367.5999999999995</v>
      </c>
      <c r="I205" s="23"/>
    </row>
    <row r="206" spans="1:9" hidden="1" x14ac:dyDescent="0.25">
      <c r="A206" s="9">
        <v>45774</v>
      </c>
      <c r="B206" t="s">
        <v>99</v>
      </c>
      <c r="C206" s="5" t="s">
        <v>8</v>
      </c>
      <c r="D206" s="18">
        <v>31</v>
      </c>
      <c r="E206" s="22">
        <v>118.06</v>
      </c>
      <c r="F206" s="6">
        <v>3660</v>
      </c>
      <c r="G206" s="3">
        <f>SALESTABLE[[#This Row],[Value]]+SALESTABLE[[#This Row],[gst]]</f>
        <v>4318.8</v>
      </c>
      <c r="H206" s="23">
        <f>SALESTABLE[[#This Row],[Value]]*18%</f>
        <v>658.8</v>
      </c>
      <c r="I206" s="23"/>
    </row>
    <row r="207" spans="1:9" hidden="1" x14ac:dyDescent="0.25">
      <c r="A207" s="9">
        <v>45774</v>
      </c>
      <c r="B207" s="4" t="s">
        <v>96</v>
      </c>
      <c r="C207" s="5" t="s">
        <v>8</v>
      </c>
      <c r="D207" s="18">
        <v>52</v>
      </c>
      <c r="E207" s="22">
        <v>125</v>
      </c>
      <c r="F207" s="6">
        <v>6500</v>
      </c>
      <c r="G207" s="3">
        <f>SALESTABLE[[#This Row],[Value]]+SALESTABLE[[#This Row],[gst]]</f>
        <v>7670</v>
      </c>
      <c r="H207" s="23">
        <f>SALESTABLE[[#This Row],[Value]]*18%</f>
        <v>1170</v>
      </c>
      <c r="I207" s="23"/>
    </row>
    <row r="208" spans="1:9" hidden="1" x14ac:dyDescent="0.25">
      <c r="A208" s="9">
        <v>45774</v>
      </c>
      <c r="B208" s="4" t="s">
        <v>96</v>
      </c>
      <c r="C208" s="5" t="s">
        <v>8</v>
      </c>
      <c r="D208" s="18">
        <v>70</v>
      </c>
      <c r="E208" s="22">
        <v>105</v>
      </c>
      <c r="F208" s="6">
        <v>7350</v>
      </c>
      <c r="G208" s="3">
        <f>SALESTABLE[[#This Row],[Value]]+SALESTABLE[[#This Row],[gst]]</f>
        <v>8673</v>
      </c>
      <c r="H208" s="23">
        <f>SALESTABLE[[#This Row],[Value]]*18%</f>
        <v>1323</v>
      </c>
      <c r="I208" s="23"/>
    </row>
    <row r="209" spans="1:9" hidden="1" x14ac:dyDescent="0.25">
      <c r="A209" s="9">
        <v>45774</v>
      </c>
      <c r="B209" s="12" t="s">
        <v>25</v>
      </c>
      <c r="C209" s="5" t="s">
        <v>8</v>
      </c>
      <c r="D209" s="18">
        <v>26</v>
      </c>
      <c r="E209" s="22">
        <v>115</v>
      </c>
      <c r="F209" s="7">
        <f>SALESTABLE[[#This Row],[Quantity]]*SALESTABLE[[#This Row],[Rate]]</f>
        <v>2990</v>
      </c>
      <c r="G209" s="3">
        <f>SALESTABLE[[#This Row],[Value]]+SALESTABLE[[#This Row],[gst]]</f>
        <v>3528.2</v>
      </c>
      <c r="H209" s="23">
        <f>SALESTABLE[[#This Row],[Value]]*18%</f>
        <v>538.19999999999993</v>
      </c>
      <c r="I209" s="23"/>
    </row>
    <row r="210" spans="1:9" hidden="1" x14ac:dyDescent="0.25">
      <c r="A210" s="9">
        <v>45774</v>
      </c>
      <c r="B210" t="s">
        <v>99</v>
      </c>
      <c r="C210" s="5" t="s">
        <v>8</v>
      </c>
      <c r="D210" s="18">
        <v>26</v>
      </c>
      <c r="E210" s="22">
        <v>115</v>
      </c>
      <c r="F210" s="6">
        <v>1381.4</v>
      </c>
      <c r="G210" s="6">
        <v>1630</v>
      </c>
      <c r="H210" s="23">
        <f>SALESTABLE[[#This Row],[Value]]*18%</f>
        <v>248.65200000000002</v>
      </c>
      <c r="I210" s="23"/>
    </row>
    <row r="211" spans="1:9" hidden="1" x14ac:dyDescent="0.25">
      <c r="A211" s="9">
        <v>45774</v>
      </c>
      <c r="B211" s="4" t="s">
        <v>26</v>
      </c>
      <c r="C211" s="5" t="s">
        <v>8</v>
      </c>
      <c r="D211" s="18">
        <v>78</v>
      </c>
      <c r="E211" s="22">
        <v>147.66999999999999</v>
      </c>
      <c r="F211" s="6">
        <v>11518</v>
      </c>
      <c r="G211" s="6">
        <v>13591</v>
      </c>
      <c r="H211" s="23">
        <f>SALESTABLE[[#This Row],[Value]]*18%</f>
        <v>2073.2399999999998</v>
      </c>
      <c r="I211" s="23"/>
    </row>
    <row r="212" spans="1:9" hidden="1" x14ac:dyDescent="0.25">
      <c r="A212" s="9">
        <v>45775</v>
      </c>
      <c r="B212" s="4" t="s">
        <v>53</v>
      </c>
      <c r="C212" s="5" t="s">
        <v>8</v>
      </c>
      <c r="D212" s="18">
        <v>78</v>
      </c>
      <c r="E212" s="22">
        <v>95</v>
      </c>
      <c r="F212" s="6">
        <v>7410</v>
      </c>
      <c r="G212" s="6">
        <v>8744</v>
      </c>
      <c r="H212" s="23">
        <f>SALESTABLE[[#This Row],[Value]]*18%</f>
        <v>1333.8</v>
      </c>
      <c r="I212" s="23"/>
    </row>
    <row r="213" spans="1:9" hidden="1" x14ac:dyDescent="0.25">
      <c r="A213" s="9">
        <v>45776</v>
      </c>
      <c r="B213" s="4" t="s">
        <v>53</v>
      </c>
      <c r="C213" s="5" t="s">
        <v>8</v>
      </c>
      <c r="D213" s="18">
        <v>630</v>
      </c>
      <c r="E213" s="22">
        <v>79.33</v>
      </c>
      <c r="F213" s="6">
        <v>49980</v>
      </c>
      <c r="G213" s="6">
        <v>58976</v>
      </c>
      <c r="H213" s="23">
        <f>SALESTABLE[[#This Row],[Value]]*18%</f>
        <v>8996.4</v>
      </c>
      <c r="I213" s="23"/>
    </row>
    <row r="214" spans="1:9" hidden="1" x14ac:dyDescent="0.25">
      <c r="A214" s="9">
        <v>45776</v>
      </c>
      <c r="B214" s="4" t="s">
        <v>68</v>
      </c>
      <c r="C214" s="5" t="s">
        <v>8</v>
      </c>
      <c r="D214" s="18">
        <v>78</v>
      </c>
      <c r="E214" s="22">
        <v>120</v>
      </c>
      <c r="F214" s="6">
        <v>9360</v>
      </c>
      <c r="G214" s="6">
        <v>11045</v>
      </c>
      <c r="H214" s="23">
        <f>SALESTABLE[[#This Row],[Value]]*18%</f>
        <v>1684.8</v>
      </c>
      <c r="I214" s="23"/>
    </row>
    <row r="215" spans="1:9" hidden="1" x14ac:dyDescent="0.25">
      <c r="A215" s="9">
        <v>45776</v>
      </c>
      <c r="B215" t="s">
        <v>99</v>
      </c>
      <c r="C215" s="5" t="s">
        <v>8</v>
      </c>
      <c r="D215" s="18">
        <v>130</v>
      </c>
      <c r="E215" s="22">
        <v>114.4</v>
      </c>
      <c r="F215" s="6">
        <v>14872</v>
      </c>
      <c r="G215" s="6">
        <v>17549</v>
      </c>
      <c r="H215" s="23">
        <f>SALESTABLE[[#This Row],[Value]]*18%</f>
        <v>2676.96</v>
      </c>
      <c r="I215" s="23"/>
    </row>
    <row r="216" spans="1:9" hidden="1" x14ac:dyDescent="0.25">
      <c r="A216" s="9">
        <v>45776</v>
      </c>
      <c r="B216" s="4" t="s">
        <v>94</v>
      </c>
      <c r="C216" s="5" t="s">
        <v>8</v>
      </c>
      <c r="D216" s="18">
        <v>25</v>
      </c>
      <c r="E216" s="22">
        <v>70</v>
      </c>
      <c r="F216" s="6">
        <v>1750</v>
      </c>
      <c r="G216" s="6">
        <v>2065</v>
      </c>
      <c r="H216" s="23">
        <f>SALESTABLE[[#This Row],[Value]]*18%</f>
        <v>315</v>
      </c>
      <c r="I216" s="23"/>
    </row>
    <row r="217" spans="1:9" hidden="1" x14ac:dyDescent="0.25">
      <c r="A217" s="9">
        <v>45776</v>
      </c>
      <c r="B217" s="4" t="s">
        <v>96</v>
      </c>
      <c r="C217" s="5" t="s">
        <v>8</v>
      </c>
      <c r="D217" s="18">
        <v>104</v>
      </c>
      <c r="E217" s="22">
        <v>107.5</v>
      </c>
      <c r="F217" s="6">
        <v>11180</v>
      </c>
      <c r="G217" s="6">
        <v>13192</v>
      </c>
      <c r="H217" s="23">
        <f>SALESTABLE[[#This Row],[Value]]*18%</f>
        <v>2012.3999999999999</v>
      </c>
      <c r="I217" s="23"/>
    </row>
    <row r="218" spans="1:9" hidden="1" x14ac:dyDescent="0.25">
      <c r="A218" s="9">
        <v>45776</v>
      </c>
      <c r="B218" t="s">
        <v>99</v>
      </c>
      <c r="C218" s="5" t="s">
        <v>8</v>
      </c>
      <c r="D218" s="18">
        <v>26</v>
      </c>
      <c r="E218" s="22">
        <v>136</v>
      </c>
      <c r="F218" s="6">
        <v>3536</v>
      </c>
      <c r="G218" s="6">
        <v>4172</v>
      </c>
      <c r="H218" s="23">
        <f>SALESTABLE[[#This Row],[Value]]*18%</f>
        <v>636.48</v>
      </c>
      <c r="I218" s="23"/>
    </row>
    <row r="219" spans="1:9" hidden="1" x14ac:dyDescent="0.25">
      <c r="A219" s="9">
        <v>45776</v>
      </c>
      <c r="B219" t="s">
        <v>99</v>
      </c>
      <c r="C219" s="5" t="s">
        <v>8</v>
      </c>
      <c r="D219" s="18">
        <v>20</v>
      </c>
      <c r="E219" s="22">
        <v>98</v>
      </c>
      <c r="F219" s="6">
        <v>1960</v>
      </c>
      <c r="G219" s="6">
        <v>2313</v>
      </c>
      <c r="H219" s="23">
        <f>SALESTABLE[[#This Row],[Value]]*18%</f>
        <v>352.8</v>
      </c>
      <c r="I219" s="23"/>
    </row>
    <row r="220" spans="1:9" hidden="1" x14ac:dyDescent="0.25">
      <c r="A220" s="9">
        <v>45776</v>
      </c>
      <c r="B220" s="4" t="s">
        <v>82</v>
      </c>
      <c r="C220" s="5" t="s">
        <v>8</v>
      </c>
      <c r="D220" s="18">
        <v>760</v>
      </c>
      <c r="E220" s="22">
        <v>93.88</v>
      </c>
      <c r="F220" s="6">
        <v>71350</v>
      </c>
      <c r="G220" s="6">
        <v>84193</v>
      </c>
      <c r="H220" s="23">
        <f>SALESTABLE[[#This Row],[Value]]*18%</f>
        <v>12843</v>
      </c>
      <c r="I220" s="23"/>
    </row>
    <row r="221" spans="1:9" hidden="1" x14ac:dyDescent="0.25">
      <c r="A221" s="9">
        <v>45776</v>
      </c>
      <c r="B221" t="s">
        <v>99</v>
      </c>
      <c r="C221" s="5" t="s">
        <v>8</v>
      </c>
      <c r="D221" s="18">
        <v>26</v>
      </c>
      <c r="E221" s="22">
        <v>140</v>
      </c>
      <c r="F221" s="6">
        <v>3640</v>
      </c>
      <c r="G221" s="6">
        <v>4295</v>
      </c>
      <c r="H221" s="23">
        <f>SALESTABLE[[#This Row],[Value]]*18%</f>
        <v>655.19999999999993</v>
      </c>
      <c r="I221" s="23"/>
    </row>
    <row r="222" spans="1:9" hidden="1" x14ac:dyDescent="0.25">
      <c r="A222" s="9">
        <v>45777</v>
      </c>
      <c r="B222" s="4" t="s">
        <v>97</v>
      </c>
      <c r="C222" s="5" t="s">
        <v>8</v>
      </c>
      <c r="D222" s="18">
        <v>236</v>
      </c>
      <c r="E222" s="22">
        <v>126.57</v>
      </c>
      <c r="F222" s="6">
        <v>29870</v>
      </c>
      <c r="G222" s="6">
        <v>35247</v>
      </c>
      <c r="H222" s="23">
        <f>SALESTABLE[[#This Row],[Value]]*18%</f>
        <v>5376.5999999999995</v>
      </c>
      <c r="I222" s="23"/>
    </row>
    <row r="223" spans="1:9" hidden="1" x14ac:dyDescent="0.25">
      <c r="A223" s="9">
        <v>45777</v>
      </c>
      <c r="B223" s="4" t="s">
        <v>17</v>
      </c>
      <c r="C223" s="5" t="s">
        <v>8</v>
      </c>
      <c r="D223" s="18">
        <v>236</v>
      </c>
      <c r="E223" s="22">
        <v>95.89</v>
      </c>
      <c r="F223" s="6">
        <v>22630</v>
      </c>
      <c r="G223" s="6">
        <v>26703</v>
      </c>
      <c r="H223" s="23">
        <f>SALESTABLE[[#This Row],[Value]]*18%</f>
        <v>4073.3999999999996</v>
      </c>
      <c r="I223" s="23"/>
    </row>
    <row r="224" spans="1:9" hidden="1" x14ac:dyDescent="0.25">
      <c r="A224" s="9">
        <v>45777</v>
      </c>
      <c r="B224" t="s">
        <v>99</v>
      </c>
      <c r="C224" s="5" t="s">
        <v>8</v>
      </c>
      <c r="D224" s="18">
        <v>26</v>
      </c>
      <c r="E224" s="22">
        <v>250</v>
      </c>
      <c r="F224" s="6">
        <v>6500</v>
      </c>
      <c r="G224" s="6">
        <v>7670</v>
      </c>
      <c r="H224" s="23">
        <f>SALESTABLE[[#This Row],[Value]]*18%</f>
        <v>1170</v>
      </c>
      <c r="I224" s="23"/>
    </row>
    <row r="225" spans="1:9" hidden="1" x14ac:dyDescent="0.25">
      <c r="A225" s="9">
        <v>45777</v>
      </c>
      <c r="B225" s="4" t="s">
        <v>80</v>
      </c>
      <c r="C225" s="5" t="s">
        <v>8</v>
      </c>
      <c r="D225" s="18">
        <v>260</v>
      </c>
      <c r="E225" s="22">
        <v>95</v>
      </c>
      <c r="F225" s="6">
        <v>24700</v>
      </c>
      <c r="G225" s="6">
        <v>29146</v>
      </c>
      <c r="H225" s="23">
        <f>SALESTABLE[[#This Row],[Value]]*18%</f>
        <v>4446</v>
      </c>
      <c r="I225" s="23"/>
    </row>
    <row r="226" spans="1:9" hidden="1" x14ac:dyDescent="0.25">
      <c r="A226" s="9">
        <v>45777</v>
      </c>
      <c r="B226" s="4" t="s">
        <v>93</v>
      </c>
      <c r="C226" s="5" t="s">
        <v>8</v>
      </c>
      <c r="D226" s="18">
        <v>210</v>
      </c>
      <c r="E226" s="22">
        <v>80</v>
      </c>
      <c r="F226" s="6">
        <v>16800</v>
      </c>
      <c r="G226" s="6">
        <v>19824</v>
      </c>
      <c r="H226" s="23">
        <f>SALESTABLE[[#This Row],[Value]]*18%</f>
        <v>3024</v>
      </c>
      <c r="I226" s="23"/>
    </row>
    <row r="227" spans="1:9" hidden="1" x14ac:dyDescent="0.25">
      <c r="A227" s="8">
        <v>45778</v>
      </c>
      <c r="B227" s="13" t="s">
        <v>25</v>
      </c>
      <c r="C227" s="2" t="s">
        <v>8</v>
      </c>
      <c r="D227" s="17">
        <v>26</v>
      </c>
      <c r="E227" s="22">
        <v>115</v>
      </c>
      <c r="F227" s="14"/>
      <c r="G227" s="14"/>
      <c r="H227" s="23">
        <f>SALESTABLE[[#This Row],[Value]]*18%</f>
        <v>0</v>
      </c>
      <c r="I227" s="23"/>
    </row>
    <row r="228" spans="1:9" hidden="1" x14ac:dyDescent="0.25">
      <c r="A228" s="9">
        <v>45778</v>
      </c>
      <c r="B228" s="4" t="s">
        <v>95</v>
      </c>
      <c r="C228" s="5" t="s">
        <v>8</v>
      </c>
      <c r="D228" s="18">
        <v>220</v>
      </c>
      <c r="E228" s="22">
        <v>55</v>
      </c>
      <c r="F228" s="6">
        <v>12100</v>
      </c>
      <c r="G228" s="6">
        <v>14278</v>
      </c>
      <c r="H228" s="23">
        <f>SALESTABLE[[#This Row],[Value]]*18%</f>
        <v>2178</v>
      </c>
      <c r="I228" s="23"/>
    </row>
    <row r="229" spans="1:9" hidden="1" x14ac:dyDescent="0.25">
      <c r="A229" s="9">
        <v>45779</v>
      </c>
      <c r="B229" s="4" t="s">
        <v>95</v>
      </c>
      <c r="C229" s="5" t="s">
        <v>8</v>
      </c>
      <c r="D229" s="18">
        <v>78</v>
      </c>
      <c r="E229" s="22">
        <v>109</v>
      </c>
      <c r="F229" s="6">
        <v>8502</v>
      </c>
      <c r="G229" s="6">
        <v>10032</v>
      </c>
      <c r="H229" s="23">
        <f>SALESTABLE[[#This Row],[Value]]*18%</f>
        <v>1530.36</v>
      </c>
      <c r="I229" s="23"/>
    </row>
    <row r="230" spans="1:9" hidden="1" x14ac:dyDescent="0.25">
      <c r="A230" s="9">
        <v>45779</v>
      </c>
      <c r="B230" s="4" t="s">
        <v>27</v>
      </c>
      <c r="C230" s="5" t="s">
        <v>8</v>
      </c>
      <c r="D230" s="18">
        <v>624</v>
      </c>
      <c r="E230" s="22">
        <v>105</v>
      </c>
      <c r="F230" s="6">
        <v>65520</v>
      </c>
      <c r="G230" s="6">
        <v>77314</v>
      </c>
      <c r="H230" s="23">
        <f>SALESTABLE[[#This Row],[Value]]*18%</f>
        <v>11793.6</v>
      </c>
      <c r="I230" s="23"/>
    </row>
    <row r="231" spans="1:9" hidden="1" x14ac:dyDescent="0.25">
      <c r="A231" s="9">
        <v>45779</v>
      </c>
      <c r="B231" s="4" t="s">
        <v>42</v>
      </c>
      <c r="C231" s="5" t="s">
        <v>8</v>
      </c>
      <c r="D231" s="18">
        <v>297</v>
      </c>
      <c r="E231" s="22">
        <v>95.84</v>
      </c>
      <c r="F231" s="6">
        <v>28465</v>
      </c>
      <c r="G231" s="6">
        <v>33589</v>
      </c>
      <c r="H231" s="23">
        <f>SALESTABLE[[#This Row],[Value]]*18%</f>
        <v>5123.7</v>
      </c>
      <c r="I231" s="23"/>
    </row>
    <row r="232" spans="1:9" hidden="1" x14ac:dyDescent="0.25">
      <c r="A232" s="9">
        <v>45779</v>
      </c>
      <c r="B232" s="4" t="s">
        <v>96</v>
      </c>
      <c r="C232" s="5" t="s">
        <v>8</v>
      </c>
      <c r="D232" s="18">
        <v>420</v>
      </c>
      <c r="E232" s="22">
        <v>55</v>
      </c>
      <c r="F232" s="6">
        <v>23100</v>
      </c>
      <c r="G232" s="6">
        <v>27258</v>
      </c>
      <c r="H232" s="23">
        <f>SALESTABLE[[#This Row],[Value]]*18%</f>
        <v>4158</v>
      </c>
      <c r="I232" s="23"/>
    </row>
    <row r="233" spans="1:9" hidden="1" x14ac:dyDescent="0.25">
      <c r="A233" s="9">
        <v>45779</v>
      </c>
      <c r="B233" s="4" t="s">
        <v>53</v>
      </c>
      <c r="C233" s="5" t="s">
        <v>8</v>
      </c>
      <c r="D233" s="18">
        <v>880</v>
      </c>
      <c r="E233" s="22">
        <v>80.05</v>
      </c>
      <c r="F233" s="6">
        <v>70440</v>
      </c>
      <c r="G233" s="6">
        <v>83119</v>
      </c>
      <c r="H233" s="23">
        <f>SALESTABLE[[#This Row],[Value]]*18%</f>
        <v>12679.199999999999</v>
      </c>
      <c r="I233" s="23"/>
    </row>
    <row r="234" spans="1:9" hidden="1" x14ac:dyDescent="0.25">
      <c r="A234" s="9">
        <v>45779</v>
      </c>
      <c r="B234" s="4" t="s">
        <v>83</v>
      </c>
      <c r="C234" s="5" t="s">
        <v>8</v>
      </c>
      <c r="D234" s="18">
        <v>52</v>
      </c>
      <c r="E234" s="22">
        <v>112</v>
      </c>
      <c r="F234" s="6">
        <v>5824</v>
      </c>
      <c r="G234" s="6">
        <v>6872</v>
      </c>
      <c r="H234" s="23">
        <f>SALESTABLE[[#This Row],[Value]]*18%</f>
        <v>1048.32</v>
      </c>
      <c r="I234" s="23"/>
    </row>
    <row r="235" spans="1:9" hidden="1" x14ac:dyDescent="0.25">
      <c r="A235" s="9">
        <v>45779</v>
      </c>
      <c r="B235" s="4" t="s">
        <v>94</v>
      </c>
      <c r="C235" s="5" t="s">
        <v>8</v>
      </c>
      <c r="D235" s="18">
        <v>630</v>
      </c>
      <c r="E235" s="22">
        <v>75</v>
      </c>
      <c r="F235" s="6">
        <v>47250</v>
      </c>
      <c r="G235" s="6">
        <v>55755</v>
      </c>
      <c r="H235" s="23">
        <f>SALESTABLE[[#This Row],[Value]]*18%</f>
        <v>8505</v>
      </c>
      <c r="I235" s="23"/>
    </row>
    <row r="236" spans="1:9" hidden="1" x14ac:dyDescent="0.25">
      <c r="A236" s="9">
        <v>45779</v>
      </c>
      <c r="B236" t="s">
        <v>99</v>
      </c>
      <c r="C236" s="5" t="s">
        <v>8</v>
      </c>
      <c r="D236" s="18">
        <v>78</v>
      </c>
      <c r="E236" s="22">
        <v>192</v>
      </c>
      <c r="F236" s="6">
        <v>14976</v>
      </c>
      <c r="G236" s="6">
        <v>17672</v>
      </c>
      <c r="H236" s="23">
        <f>SALESTABLE[[#This Row],[Value]]*18%</f>
        <v>2695.68</v>
      </c>
      <c r="I236" s="23"/>
    </row>
    <row r="237" spans="1:9" hidden="1" x14ac:dyDescent="0.25">
      <c r="A237" s="9">
        <v>45779</v>
      </c>
      <c r="B237" t="s">
        <v>99</v>
      </c>
      <c r="C237" s="5" t="s">
        <v>8</v>
      </c>
      <c r="D237" s="18">
        <v>5</v>
      </c>
      <c r="E237" s="22">
        <v>71</v>
      </c>
      <c r="F237" s="6">
        <v>355</v>
      </c>
      <c r="G237" s="6">
        <v>419</v>
      </c>
      <c r="H237" s="23">
        <f>SALESTABLE[[#This Row],[Value]]*18%</f>
        <v>63.9</v>
      </c>
      <c r="I237" s="23"/>
    </row>
    <row r="238" spans="1:9" hidden="1" x14ac:dyDescent="0.25">
      <c r="A238" s="9">
        <v>45779</v>
      </c>
      <c r="B238" s="4" t="s">
        <v>74</v>
      </c>
      <c r="C238" s="5" t="s">
        <v>8</v>
      </c>
      <c r="D238" s="18">
        <v>105</v>
      </c>
      <c r="E238" s="22">
        <v>83</v>
      </c>
      <c r="F238" s="6">
        <v>8715</v>
      </c>
      <c r="G238" s="6">
        <v>10284</v>
      </c>
      <c r="H238" s="23">
        <f>SALESTABLE[[#This Row],[Value]]*18%</f>
        <v>1568.7</v>
      </c>
      <c r="I238" s="23"/>
    </row>
    <row r="239" spans="1:9" x14ac:dyDescent="0.25">
      <c r="A239" s="9">
        <v>45780</v>
      </c>
      <c r="B239" t="s">
        <v>98</v>
      </c>
      <c r="C239" s="5" t="s">
        <v>8</v>
      </c>
      <c r="D239" s="18">
        <v>5</v>
      </c>
      <c r="E239" s="22">
        <v>180</v>
      </c>
      <c r="F239" s="6">
        <v>900</v>
      </c>
      <c r="G239" s="6">
        <v>1062</v>
      </c>
      <c r="H239" s="23">
        <f>SALESTABLE[[#This Row],[Value]]*18%</f>
        <v>162</v>
      </c>
      <c r="I239" s="23"/>
    </row>
    <row r="240" spans="1:9" hidden="1" x14ac:dyDescent="0.25">
      <c r="A240" s="9">
        <v>45780</v>
      </c>
      <c r="B240" s="4" t="s">
        <v>51</v>
      </c>
      <c r="C240" s="5" t="s">
        <v>8</v>
      </c>
      <c r="D240" s="18">
        <v>302</v>
      </c>
      <c r="E240" s="22">
        <v>85.33</v>
      </c>
      <c r="F240" s="6">
        <v>25770</v>
      </c>
      <c r="G240" s="6">
        <v>30409</v>
      </c>
      <c r="H240" s="23">
        <f>SALESTABLE[[#This Row],[Value]]*18%</f>
        <v>4638.5999999999995</v>
      </c>
      <c r="I240" s="23"/>
    </row>
    <row r="241" spans="1:9" hidden="1" x14ac:dyDescent="0.25">
      <c r="A241" s="9">
        <v>45780</v>
      </c>
      <c r="B241" s="4" t="s">
        <v>94</v>
      </c>
      <c r="C241" s="5" t="s">
        <v>8</v>
      </c>
      <c r="D241" s="18">
        <v>26</v>
      </c>
      <c r="E241" s="22">
        <v>105</v>
      </c>
      <c r="F241" s="6">
        <v>2730</v>
      </c>
      <c r="G241" s="6">
        <v>3221</v>
      </c>
      <c r="H241" s="23">
        <f>SALESTABLE[[#This Row],[Value]]*18%</f>
        <v>491.4</v>
      </c>
      <c r="I241" s="23"/>
    </row>
    <row r="242" spans="1:9" hidden="1" x14ac:dyDescent="0.25">
      <c r="A242" s="9">
        <v>45780</v>
      </c>
      <c r="B242" s="4" t="s">
        <v>42</v>
      </c>
      <c r="C242" s="5" t="s">
        <v>8</v>
      </c>
      <c r="D242" s="18">
        <v>78</v>
      </c>
      <c r="E242" s="22">
        <v>150</v>
      </c>
      <c r="F242" s="6">
        <v>11700</v>
      </c>
      <c r="G242" s="6">
        <v>13806</v>
      </c>
      <c r="H242" s="23">
        <f>SALESTABLE[[#This Row],[Value]]*18%</f>
        <v>2106</v>
      </c>
      <c r="I242" s="23"/>
    </row>
    <row r="243" spans="1:9" hidden="1" x14ac:dyDescent="0.25">
      <c r="A243" s="9">
        <v>45780</v>
      </c>
      <c r="B243" s="4" t="s">
        <v>61</v>
      </c>
      <c r="C243" s="5" t="s">
        <v>8</v>
      </c>
      <c r="D243" s="18">
        <v>100</v>
      </c>
      <c r="E243" s="22">
        <v>72</v>
      </c>
      <c r="F243" s="6">
        <v>7200</v>
      </c>
      <c r="G243" s="6">
        <v>8496</v>
      </c>
      <c r="H243" s="23">
        <f>SALESTABLE[[#This Row],[Value]]*18%</f>
        <v>1296</v>
      </c>
      <c r="I243" s="23"/>
    </row>
    <row r="244" spans="1:9" x14ac:dyDescent="0.25">
      <c r="A244" s="9">
        <v>45780</v>
      </c>
      <c r="B244" t="s">
        <v>98</v>
      </c>
      <c r="C244" s="5" t="s">
        <v>8</v>
      </c>
      <c r="D244" s="18">
        <v>50</v>
      </c>
      <c r="E244" s="22">
        <v>64</v>
      </c>
      <c r="F244" s="6">
        <v>3200</v>
      </c>
      <c r="G244" s="6">
        <v>3776</v>
      </c>
      <c r="H244" s="23">
        <f>SALESTABLE[[#This Row],[Value]]*18%</f>
        <v>576</v>
      </c>
      <c r="I244" s="23"/>
    </row>
    <row r="245" spans="1:9" x14ac:dyDescent="0.25">
      <c r="A245" s="9">
        <v>45781</v>
      </c>
      <c r="B245" t="s">
        <v>98</v>
      </c>
      <c r="C245" s="5" t="s">
        <v>8</v>
      </c>
      <c r="D245" s="18">
        <v>5250</v>
      </c>
      <c r="E245" s="22">
        <v>61</v>
      </c>
      <c r="F245" s="6">
        <v>320250</v>
      </c>
      <c r="G245" s="6">
        <v>377895</v>
      </c>
      <c r="H245" s="23">
        <f>SALESTABLE[[#This Row],[Value]]*18%</f>
        <v>57645</v>
      </c>
      <c r="I245" s="23"/>
    </row>
    <row r="246" spans="1:9" x14ac:dyDescent="0.25">
      <c r="A246" s="9">
        <v>45781</v>
      </c>
      <c r="B246" t="s">
        <v>98</v>
      </c>
      <c r="C246" s="5" t="s">
        <v>8</v>
      </c>
      <c r="D246" s="18">
        <v>52</v>
      </c>
      <c r="E246" s="22">
        <v>107</v>
      </c>
      <c r="F246" s="6">
        <v>5564</v>
      </c>
      <c r="G246" s="6">
        <v>6566</v>
      </c>
      <c r="H246" s="23">
        <f>SALESTABLE[[#This Row],[Value]]*18%</f>
        <v>1001.52</v>
      </c>
      <c r="I246" s="23"/>
    </row>
    <row r="247" spans="1:9" hidden="1" x14ac:dyDescent="0.25">
      <c r="A247" s="9">
        <v>45781</v>
      </c>
      <c r="B247" s="4" t="s">
        <v>15</v>
      </c>
      <c r="C247" s="5" t="s">
        <v>8</v>
      </c>
      <c r="D247" s="18">
        <v>26</v>
      </c>
      <c r="E247" s="22">
        <v>115</v>
      </c>
      <c r="F247" s="6">
        <v>11560</v>
      </c>
      <c r="G247" s="6">
        <v>13641</v>
      </c>
      <c r="H247" s="23">
        <f>SALESTABLE[[#This Row],[Value]]*18%</f>
        <v>2080.7999999999997</v>
      </c>
      <c r="I247" s="23"/>
    </row>
    <row r="248" spans="1:9" hidden="1" x14ac:dyDescent="0.25">
      <c r="A248" s="9">
        <v>45781</v>
      </c>
      <c r="B248" s="4" t="s">
        <v>14</v>
      </c>
      <c r="C248" s="5" t="s">
        <v>8</v>
      </c>
      <c r="D248" s="18">
        <v>26</v>
      </c>
      <c r="E248" s="22">
        <v>108</v>
      </c>
      <c r="F248" s="6">
        <v>2808</v>
      </c>
      <c r="G248" s="6">
        <v>3313</v>
      </c>
      <c r="H248" s="23">
        <f>SALESTABLE[[#This Row],[Value]]*18%</f>
        <v>505.44</v>
      </c>
      <c r="I248" s="23"/>
    </row>
    <row r="249" spans="1:9" hidden="1" x14ac:dyDescent="0.25">
      <c r="A249" s="9">
        <v>45781</v>
      </c>
      <c r="B249" s="4" t="s">
        <v>96</v>
      </c>
      <c r="C249" s="5" t="s">
        <v>8</v>
      </c>
      <c r="D249" s="18">
        <v>70</v>
      </c>
      <c r="E249" s="22">
        <v>62</v>
      </c>
      <c r="F249" s="6">
        <v>4340</v>
      </c>
      <c r="G249" s="6">
        <v>5121</v>
      </c>
      <c r="H249" s="23">
        <f>SALESTABLE[[#This Row],[Value]]*18%</f>
        <v>781.19999999999993</v>
      </c>
      <c r="I249" s="23"/>
    </row>
    <row r="250" spans="1:9" hidden="1" x14ac:dyDescent="0.25">
      <c r="A250" s="9">
        <v>45782</v>
      </c>
      <c r="B250" s="4" t="s">
        <v>15</v>
      </c>
      <c r="C250" s="5" t="s">
        <v>8</v>
      </c>
      <c r="D250" s="18">
        <v>10</v>
      </c>
      <c r="E250" s="22">
        <v>200</v>
      </c>
      <c r="F250" s="6">
        <v>2000</v>
      </c>
      <c r="G250" s="6">
        <v>2360</v>
      </c>
      <c r="H250" s="23">
        <f>SALESTABLE[[#This Row],[Value]]*18%</f>
        <v>360</v>
      </c>
      <c r="I250" s="23"/>
    </row>
    <row r="251" spans="1:9" hidden="1" x14ac:dyDescent="0.25">
      <c r="A251" s="9">
        <v>45782</v>
      </c>
      <c r="B251" s="4" t="s">
        <v>95</v>
      </c>
      <c r="C251" s="5" t="s">
        <v>8</v>
      </c>
      <c r="D251" s="18">
        <v>220</v>
      </c>
      <c r="E251" s="22">
        <v>55</v>
      </c>
      <c r="F251" s="6">
        <v>12100</v>
      </c>
      <c r="G251" s="6">
        <v>14278</v>
      </c>
      <c r="H251" s="23">
        <f>SALESTABLE[[#This Row],[Value]]*18%</f>
        <v>2178</v>
      </c>
      <c r="I251" s="23"/>
    </row>
    <row r="252" spans="1:9" hidden="1" x14ac:dyDescent="0.25">
      <c r="A252" s="9">
        <v>45782</v>
      </c>
      <c r="B252" s="4" t="s">
        <v>96</v>
      </c>
      <c r="C252" s="5" t="s">
        <v>8</v>
      </c>
      <c r="D252" s="18">
        <v>52</v>
      </c>
      <c r="E252" s="22">
        <v>125</v>
      </c>
      <c r="F252" s="6">
        <v>6500</v>
      </c>
      <c r="G252" s="6">
        <v>7670</v>
      </c>
      <c r="H252" s="23">
        <f>SALESTABLE[[#This Row],[Value]]*18%</f>
        <v>1170</v>
      </c>
      <c r="I252" s="23"/>
    </row>
    <row r="253" spans="1:9" hidden="1" x14ac:dyDescent="0.25">
      <c r="A253" s="9">
        <v>45782</v>
      </c>
      <c r="B253" s="4" t="s">
        <v>28</v>
      </c>
      <c r="C253" s="5" t="s">
        <v>8</v>
      </c>
      <c r="D253" s="18">
        <v>210</v>
      </c>
      <c r="E253" s="22">
        <v>110</v>
      </c>
      <c r="F253" s="6">
        <v>23100</v>
      </c>
      <c r="G253" s="6">
        <v>27258</v>
      </c>
      <c r="H253" s="23">
        <f>SALESTABLE[[#This Row],[Value]]*18%</f>
        <v>4158</v>
      </c>
      <c r="I253" s="23"/>
    </row>
    <row r="254" spans="1:9" hidden="1" x14ac:dyDescent="0.25">
      <c r="A254" s="9">
        <v>45782</v>
      </c>
      <c r="B254" s="4" t="s">
        <v>64</v>
      </c>
      <c r="C254" s="5" t="s">
        <v>8</v>
      </c>
      <c r="D254" s="18">
        <v>156</v>
      </c>
      <c r="E254" s="22">
        <v>147.5</v>
      </c>
      <c r="F254" s="6">
        <v>23010</v>
      </c>
      <c r="G254" s="6">
        <v>27152</v>
      </c>
      <c r="H254" s="23">
        <f>SALESTABLE[[#This Row],[Value]]*18%</f>
        <v>4141.8</v>
      </c>
      <c r="I254" s="23"/>
    </row>
    <row r="255" spans="1:9" hidden="1" x14ac:dyDescent="0.25">
      <c r="A255" s="9">
        <v>45782</v>
      </c>
      <c r="B255" s="4" t="s">
        <v>94</v>
      </c>
      <c r="C255" s="5" t="s">
        <v>8</v>
      </c>
      <c r="D255" s="18">
        <v>148</v>
      </c>
      <c r="E255" s="22">
        <v>168.99</v>
      </c>
      <c r="F255" s="6">
        <v>25010</v>
      </c>
      <c r="G255" s="6">
        <v>29512</v>
      </c>
      <c r="H255" s="23">
        <f>SALESTABLE[[#This Row],[Value]]*18%</f>
        <v>4501.8</v>
      </c>
      <c r="I255" s="23"/>
    </row>
    <row r="256" spans="1:9" hidden="1" x14ac:dyDescent="0.25">
      <c r="A256" s="9">
        <v>45782</v>
      </c>
      <c r="B256" s="4" t="s">
        <v>95</v>
      </c>
      <c r="C256" s="5" t="s">
        <v>8</v>
      </c>
      <c r="D256" s="18">
        <v>35</v>
      </c>
      <c r="E256" s="22">
        <v>76</v>
      </c>
      <c r="F256" s="6">
        <v>2660</v>
      </c>
      <c r="G256" s="6">
        <v>3139</v>
      </c>
      <c r="H256" s="23">
        <f>SALESTABLE[[#This Row],[Value]]*18%</f>
        <v>478.79999999999995</v>
      </c>
      <c r="I256" s="23"/>
    </row>
    <row r="257" spans="1:9" hidden="1" x14ac:dyDescent="0.25">
      <c r="A257" s="9">
        <v>45783</v>
      </c>
      <c r="B257" s="4" t="s">
        <v>94</v>
      </c>
      <c r="C257" s="5" t="s">
        <v>8</v>
      </c>
      <c r="D257" s="18">
        <v>50</v>
      </c>
      <c r="E257" s="22">
        <v>93</v>
      </c>
      <c r="F257" s="6">
        <v>4650</v>
      </c>
      <c r="G257" s="6">
        <v>5487</v>
      </c>
      <c r="H257" s="23">
        <f>SALESTABLE[[#This Row],[Value]]*18%</f>
        <v>837</v>
      </c>
      <c r="I257" s="23"/>
    </row>
    <row r="258" spans="1:9" hidden="1" x14ac:dyDescent="0.25">
      <c r="A258" s="9">
        <v>45783</v>
      </c>
      <c r="B258" s="4" t="s">
        <v>93</v>
      </c>
      <c r="C258" s="5" t="s">
        <v>8</v>
      </c>
      <c r="D258" s="18">
        <v>104</v>
      </c>
      <c r="E258" s="22">
        <v>115</v>
      </c>
      <c r="F258" s="6">
        <v>11960</v>
      </c>
      <c r="G258" s="6">
        <v>14113</v>
      </c>
      <c r="H258" s="23">
        <f>SALESTABLE[[#This Row],[Value]]*18%</f>
        <v>2152.7999999999997</v>
      </c>
      <c r="I258" s="23"/>
    </row>
    <row r="259" spans="1:9" x14ac:dyDescent="0.25">
      <c r="A259" s="9">
        <v>45783</v>
      </c>
      <c r="B259" t="s">
        <v>98</v>
      </c>
      <c r="C259" s="5" t="s">
        <v>8</v>
      </c>
      <c r="D259" s="18">
        <v>26</v>
      </c>
      <c r="E259" s="22">
        <v>125</v>
      </c>
      <c r="F259" s="6">
        <v>3250</v>
      </c>
      <c r="G259" s="6">
        <v>3835</v>
      </c>
      <c r="H259" s="23">
        <f>SALESTABLE[[#This Row],[Value]]*18%</f>
        <v>585</v>
      </c>
      <c r="I259" s="23"/>
    </row>
    <row r="260" spans="1:9" hidden="1" x14ac:dyDescent="0.25">
      <c r="A260" s="9">
        <v>45783</v>
      </c>
      <c r="B260" s="4" t="s">
        <v>11</v>
      </c>
      <c r="C260" s="5" t="s">
        <v>8</v>
      </c>
      <c r="D260" s="18">
        <v>70</v>
      </c>
      <c r="E260" s="22">
        <v>70</v>
      </c>
      <c r="F260" s="6">
        <v>4900</v>
      </c>
      <c r="G260" s="6">
        <v>5782</v>
      </c>
      <c r="H260" s="23">
        <f>SALESTABLE[[#This Row],[Value]]*18%</f>
        <v>882</v>
      </c>
      <c r="I260" s="23"/>
    </row>
    <row r="261" spans="1:9" x14ac:dyDescent="0.25">
      <c r="A261" s="9">
        <v>45783</v>
      </c>
      <c r="B261" t="s">
        <v>98</v>
      </c>
      <c r="C261" s="5" t="s">
        <v>8</v>
      </c>
      <c r="D261" s="18">
        <v>25</v>
      </c>
      <c r="E261" s="22">
        <v>210</v>
      </c>
      <c r="F261" s="6">
        <v>5250</v>
      </c>
      <c r="G261" s="6">
        <v>6195</v>
      </c>
      <c r="H261" s="23">
        <f>SALESTABLE[[#This Row],[Value]]*18%</f>
        <v>945</v>
      </c>
      <c r="I261" s="23"/>
    </row>
    <row r="262" spans="1:9" x14ac:dyDescent="0.25">
      <c r="A262" s="9">
        <v>45783</v>
      </c>
      <c r="B262" t="s">
        <v>98</v>
      </c>
      <c r="C262" s="5" t="s">
        <v>8</v>
      </c>
      <c r="D262" s="18">
        <v>210</v>
      </c>
      <c r="E262" s="22">
        <v>100</v>
      </c>
      <c r="F262" s="6">
        <v>21000</v>
      </c>
      <c r="G262" s="6">
        <v>24780</v>
      </c>
      <c r="H262" s="23">
        <f>SALESTABLE[[#This Row],[Value]]*18%</f>
        <v>3780</v>
      </c>
      <c r="I262" s="23"/>
    </row>
    <row r="263" spans="1:9" hidden="1" x14ac:dyDescent="0.25">
      <c r="A263" s="9">
        <v>45783</v>
      </c>
      <c r="B263" s="4" t="s">
        <v>52</v>
      </c>
      <c r="C263" s="5" t="s">
        <v>8</v>
      </c>
      <c r="D263" s="18">
        <v>230</v>
      </c>
      <c r="E263" s="22">
        <v>83.04</v>
      </c>
      <c r="F263" s="6">
        <v>19100</v>
      </c>
      <c r="G263" s="6">
        <v>22538</v>
      </c>
      <c r="H263" s="23">
        <f>SALESTABLE[[#This Row],[Value]]*18%</f>
        <v>3438</v>
      </c>
      <c r="I263" s="23"/>
    </row>
    <row r="264" spans="1:9" hidden="1" x14ac:dyDescent="0.25">
      <c r="A264" s="9">
        <v>45783</v>
      </c>
      <c r="B264" s="4" t="s">
        <v>95</v>
      </c>
      <c r="C264" s="5" t="s">
        <v>8</v>
      </c>
      <c r="D264" s="18">
        <v>35</v>
      </c>
      <c r="E264" s="22">
        <v>170</v>
      </c>
      <c r="F264" s="6">
        <v>5950</v>
      </c>
      <c r="G264" s="6">
        <v>7021</v>
      </c>
      <c r="H264" s="23">
        <f>SALESTABLE[[#This Row],[Value]]*18%</f>
        <v>1071</v>
      </c>
      <c r="I264" s="23"/>
    </row>
    <row r="265" spans="1:9" hidden="1" x14ac:dyDescent="0.25">
      <c r="A265" s="9">
        <v>45783</v>
      </c>
      <c r="B265" s="4" t="s">
        <v>94</v>
      </c>
      <c r="C265" s="5" t="s">
        <v>8</v>
      </c>
      <c r="D265" s="18">
        <v>26</v>
      </c>
      <c r="E265" s="22">
        <v>115</v>
      </c>
      <c r="F265" s="6">
        <v>2050</v>
      </c>
      <c r="G265" s="6">
        <v>2380</v>
      </c>
      <c r="H265" s="23">
        <f>SALESTABLE[[#This Row],[Value]]*18%</f>
        <v>369</v>
      </c>
      <c r="I265" s="23"/>
    </row>
    <row r="266" spans="1:9" x14ac:dyDescent="0.25">
      <c r="A266" s="9">
        <v>45784</v>
      </c>
      <c r="B266" t="s">
        <v>98</v>
      </c>
      <c r="C266" s="5" t="s">
        <v>8</v>
      </c>
      <c r="D266" s="18">
        <v>26</v>
      </c>
      <c r="E266" s="22">
        <v>115</v>
      </c>
      <c r="F266" s="6">
        <v>2050</v>
      </c>
      <c r="G266" s="6">
        <v>2419</v>
      </c>
      <c r="H266" s="23">
        <f>SALESTABLE[[#This Row],[Value]]*18%</f>
        <v>369</v>
      </c>
      <c r="I266" s="23"/>
    </row>
    <row r="267" spans="1:9" hidden="1" x14ac:dyDescent="0.25">
      <c r="A267" s="9">
        <v>45784</v>
      </c>
      <c r="B267" s="4" t="s">
        <v>18</v>
      </c>
      <c r="C267" s="5" t="s">
        <v>8</v>
      </c>
      <c r="D267" s="18">
        <v>70</v>
      </c>
      <c r="E267" s="22">
        <v>100</v>
      </c>
      <c r="F267" s="6">
        <v>7000</v>
      </c>
      <c r="G267" s="6">
        <v>8260</v>
      </c>
      <c r="H267" s="23">
        <f>SALESTABLE[[#This Row],[Value]]*18%</f>
        <v>1260</v>
      </c>
      <c r="I267" s="23"/>
    </row>
    <row r="268" spans="1:9" hidden="1" x14ac:dyDescent="0.25">
      <c r="A268" s="9">
        <v>45784</v>
      </c>
      <c r="B268" s="4" t="s">
        <v>92</v>
      </c>
      <c r="C268" s="5" t="s">
        <v>8</v>
      </c>
      <c r="D268" s="18">
        <v>52</v>
      </c>
      <c r="E268" s="22">
        <v>130</v>
      </c>
      <c r="F268" s="6">
        <v>6760</v>
      </c>
      <c r="G268" s="6">
        <v>7977</v>
      </c>
      <c r="H268" s="23">
        <f>SALESTABLE[[#This Row],[Value]]*18%</f>
        <v>1216.8</v>
      </c>
      <c r="I268" s="23"/>
    </row>
    <row r="269" spans="1:9" hidden="1" x14ac:dyDescent="0.25">
      <c r="A269" s="9">
        <v>45784</v>
      </c>
      <c r="B269" s="4" t="s">
        <v>95</v>
      </c>
      <c r="C269" s="5" t="s">
        <v>8</v>
      </c>
      <c r="D269" s="18">
        <v>220</v>
      </c>
      <c r="E269" s="22">
        <v>55</v>
      </c>
      <c r="F269" s="6">
        <v>12100</v>
      </c>
      <c r="G269" s="6">
        <v>14278</v>
      </c>
      <c r="H269" s="23">
        <f>SALESTABLE[[#This Row],[Value]]*18%</f>
        <v>2178</v>
      </c>
      <c r="I269" s="23"/>
    </row>
    <row r="270" spans="1:9" x14ac:dyDescent="0.25">
      <c r="A270" s="9">
        <v>45784</v>
      </c>
      <c r="B270" t="s">
        <v>98</v>
      </c>
      <c r="C270" s="5" t="s">
        <v>8</v>
      </c>
      <c r="D270" s="18">
        <v>26</v>
      </c>
      <c r="E270" s="22">
        <v>135</v>
      </c>
      <c r="F270" s="6">
        <v>3510</v>
      </c>
      <c r="G270" s="6">
        <v>4142</v>
      </c>
      <c r="H270" s="23">
        <f>SALESTABLE[[#This Row],[Value]]*18%</f>
        <v>631.79999999999995</v>
      </c>
      <c r="I270" s="23"/>
    </row>
    <row r="271" spans="1:9" x14ac:dyDescent="0.25">
      <c r="A271" s="9">
        <v>45784</v>
      </c>
      <c r="B271" t="s">
        <v>98</v>
      </c>
      <c r="C271" s="5" t="s">
        <v>8</v>
      </c>
      <c r="D271" s="18">
        <v>26</v>
      </c>
      <c r="E271" s="22">
        <v>115</v>
      </c>
      <c r="F271" s="6">
        <v>52730</v>
      </c>
      <c r="G271" s="6">
        <v>62221</v>
      </c>
      <c r="H271" s="23">
        <f>SALESTABLE[[#This Row],[Value]]*18%</f>
        <v>9491.4</v>
      </c>
      <c r="I271" s="23"/>
    </row>
    <row r="272" spans="1:9" x14ac:dyDescent="0.25">
      <c r="A272" s="9">
        <v>45784</v>
      </c>
      <c r="B272" t="s">
        <v>98</v>
      </c>
      <c r="C272" s="5" t="s">
        <v>8</v>
      </c>
      <c r="D272" s="18">
        <v>5</v>
      </c>
      <c r="E272" s="22">
        <v>50</v>
      </c>
      <c r="F272" s="6">
        <v>250</v>
      </c>
      <c r="G272" s="6">
        <v>263</v>
      </c>
      <c r="H272" s="23">
        <f>SALESTABLE[[#This Row],[Value]]*18%</f>
        <v>45</v>
      </c>
      <c r="I272" s="23"/>
    </row>
    <row r="273" spans="1:9" x14ac:dyDescent="0.25">
      <c r="A273" s="9">
        <v>45784</v>
      </c>
      <c r="B273" t="s">
        <v>98</v>
      </c>
      <c r="C273" s="5" t="s">
        <v>8</v>
      </c>
      <c r="D273" s="18">
        <v>35</v>
      </c>
      <c r="E273" s="22">
        <v>210</v>
      </c>
      <c r="F273" s="6">
        <v>7350</v>
      </c>
      <c r="G273" s="6">
        <v>8673</v>
      </c>
      <c r="H273" s="23">
        <f>SALESTABLE[[#This Row],[Value]]*18%</f>
        <v>1323</v>
      </c>
      <c r="I273" s="23"/>
    </row>
    <row r="274" spans="1:9" hidden="1" x14ac:dyDescent="0.25">
      <c r="A274" s="9">
        <v>45786</v>
      </c>
      <c r="B274" s="4" t="s">
        <v>42</v>
      </c>
      <c r="C274" s="5" t="s">
        <v>8</v>
      </c>
      <c r="D274" s="18">
        <v>297</v>
      </c>
      <c r="E274" s="22">
        <v>101.09</v>
      </c>
      <c r="F274" s="6">
        <v>30025</v>
      </c>
      <c r="G274" s="6">
        <v>35430</v>
      </c>
      <c r="H274" s="23">
        <f>SALESTABLE[[#This Row],[Value]]*18%</f>
        <v>5404.5</v>
      </c>
      <c r="I274" s="23"/>
    </row>
    <row r="275" spans="1:9" hidden="1" x14ac:dyDescent="0.25">
      <c r="A275" s="9">
        <v>45786</v>
      </c>
      <c r="B275" s="4" t="s">
        <v>15</v>
      </c>
      <c r="C275" s="5" t="s">
        <v>8</v>
      </c>
      <c r="D275" s="18">
        <v>220</v>
      </c>
      <c r="E275" s="22">
        <v>104.55</v>
      </c>
      <c r="F275" s="6">
        <v>23000</v>
      </c>
      <c r="G275" s="6">
        <v>27140</v>
      </c>
      <c r="H275" s="23">
        <f>SALESTABLE[[#This Row],[Value]]*18%</f>
        <v>4140</v>
      </c>
      <c r="I275" s="23"/>
    </row>
    <row r="276" spans="1:9" x14ac:dyDescent="0.25">
      <c r="A276" s="9">
        <v>45786</v>
      </c>
      <c r="B276" t="s">
        <v>98</v>
      </c>
      <c r="C276" s="5" t="s">
        <v>8</v>
      </c>
      <c r="D276" s="18">
        <v>20</v>
      </c>
      <c r="E276" s="22">
        <v>90</v>
      </c>
      <c r="F276" s="6">
        <v>1800</v>
      </c>
      <c r="G276" s="6">
        <v>2124</v>
      </c>
      <c r="H276" s="23">
        <f>SALESTABLE[[#This Row],[Value]]*18%</f>
        <v>324</v>
      </c>
      <c r="I276" s="23"/>
    </row>
    <row r="277" spans="1:9" hidden="1" x14ac:dyDescent="0.25">
      <c r="A277" s="9">
        <v>45786</v>
      </c>
      <c r="B277" s="4" t="s">
        <v>96</v>
      </c>
      <c r="C277" s="5" t="s">
        <v>8</v>
      </c>
      <c r="D277" s="18">
        <v>156</v>
      </c>
      <c r="E277" s="22">
        <v>85</v>
      </c>
      <c r="F277" s="6">
        <v>13260</v>
      </c>
      <c r="G277" s="6">
        <v>15647</v>
      </c>
      <c r="H277" s="23">
        <f>SALESTABLE[[#This Row],[Value]]*18%</f>
        <v>2386.7999999999997</v>
      </c>
      <c r="I277" s="23"/>
    </row>
    <row r="278" spans="1:9" x14ac:dyDescent="0.25">
      <c r="A278" s="9">
        <v>45786</v>
      </c>
      <c r="B278" t="s">
        <v>98</v>
      </c>
      <c r="C278" s="5" t="s">
        <v>8</v>
      </c>
      <c r="D278" s="18">
        <v>15</v>
      </c>
      <c r="E278" s="22">
        <v>115</v>
      </c>
      <c r="F278" s="6">
        <v>1725</v>
      </c>
      <c r="G278" s="6">
        <v>2036</v>
      </c>
      <c r="H278" s="23">
        <f>SALESTABLE[[#This Row],[Value]]*18%</f>
        <v>310.5</v>
      </c>
      <c r="I278" s="23"/>
    </row>
    <row r="279" spans="1:9" hidden="1" x14ac:dyDescent="0.25">
      <c r="A279" s="9">
        <v>45786</v>
      </c>
      <c r="B279" s="4" t="s">
        <v>50</v>
      </c>
      <c r="C279" s="5" t="s">
        <v>8</v>
      </c>
      <c r="D279" s="18">
        <v>31</v>
      </c>
      <c r="E279" s="22">
        <v>115</v>
      </c>
      <c r="F279" s="6">
        <v>3565</v>
      </c>
      <c r="G279" s="6">
        <v>4207</v>
      </c>
      <c r="H279" s="23">
        <f>SALESTABLE[[#This Row],[Value]]*18%</f>
        <v>641.69999999999993</v>
      </c>
      <c r="I279" s="23"/>
    </row>
    <row r="280" spans="1:9" hidden="1" x14ac:dyDescent="0.25">
      <c r="A280" s="9">
        <v>45786</v>
      </c>
      <c r="B280" s="4" t="s">
        <v>94</v>
      </c>
      <c r="C280" s="5" t="s">
        <v>8</v>
      </c>
      <c r="D280" s="18">
        <v>210</v>
      </c>
      <c r="E280" s="22">
        <v>86</v>
      </c>
      <c r="F280" s="6">
        <v>18060</v>
      </c>
      <c r="G280" s="6">
        <v>21311</v>
      </c>
      <c r="H280" s="23">
        <f>SALESTABLE[[#This Row],[Value]]*18%</f>
        <v>3250.7999999999997</v>
      </c>
      <c r="I280" s="23"/>
    </row>
    <row r="281" spans="1:9" hidden="1" x14ac:dyDescent="0.25">
      <c r="A281" s="9">
        <v>45786</v>
      </c>
      <c r="B281" s="4" t="s">
        <v>29</v>
      </c>
      <c r="C281" s="5" t="s">
        <v>8</v>
      </c>
      <c r="D281" s="18">
        <v>52</v>
      </c>
      <c r="E281" s="22">
        <v>110</v>
      </c>
      <c r="F281" s="6">
        <v>5720</v>
      </c>
      <c r="G281" s="6">
        <v>6750</v>
      </c>
      <c r="H281" s="23">
        <f>SALESTABLE[[#This Row],[Value]]*18%</f>
        <v>1029.5999999999999</v>
      </c>
      <c r="I281" s="23"/>
    </row>
    <row r="282" spans="1:9" hidden="1" x14ac:dyDescent="0.25">
      <c r="A282" s="9">
        <v>45786</v>
      </c>
      <c r="B282" s="4" t="s">
        <v>97</v>
      </c>
      <c r="C282" s="5" t="s">
        <v>8</v>
      </c>
      <c r="D282" s="18">
        <v>1025</v>
      </c>
      <c r="E282" s="22">
        <v>105</v>
      </c>
      <c r="F282" s="6">
        <v>107625</v>
      </c>
      <c r="G282" s="6">
        <v>126998</v>
      </c>
      <c r="H282" s="23">
        <f>SALESTABLE[[#This Row],[Value]]*18%</f>
        <v>19372.5</v>
      </c>
      <c r="I282" s="23"/>
    </row>
    <row r="283" spans="1:9" hidden="1" x14ac:dyDescent="0.25">
      <c r="A283" s="9">
        <v>45786</v>
      </c>
      <c r="B283" s="4" t="s">
        <v>69</v>
      </c>
      <c r="C283" s="5" t="s">
        <v>8</v>
      </c>
      <c r="D283" s="18">
        <v>26</v>
      </c>
      <c r="E283" s="22">
        <v>160</v>
      </c>
      <c r="F283" s="6">
        <v>4160</v>
      </c>
      <c r="G283" s="6">
        <v>4909</v>
      </c>
      <c r="H283" s="23">
        <f>SALESTABLE[[#This Row],[Value]]*18%</f>
        <v>748.8</v>
      </c>
      <c r="I283" s="23"/>
    </row>
    <row r="284" spans="1:9" x14ac:dyDescent="0.25">
      <c r="A284" s="9">
        <v>45786</v>
      </c>
      <c r="B284" t="s">
        <v>98</v>
      </c>
      <c r="C284" s="5" t="s">
        <v>8</v>
      </c>
      <c r="D284" s="18">
        <v>2</v>
      </c>
      <c r="E284" s="22">
        <v>200</v>
      </c>
      <c r="F284" s="6">
        <v>400</v>
      </c>
      <c r="G284" s="6">
        <v>472</v>
      </c>
      <c r="H284" s="23">
        <f>SALESTABLE[[#This Row],[Value]]*18%</f>
        <v>72</v>
      </c>
      <c r="I284" s="23"/>
    </row>
    <row r="285" spans="1:9" x14ac:dyDescent="0.25">
      <c r="A285" s="9">
        <v>45786</v>
      </c>
      <c r="B285" t="s">
        <v>98</v>
      </c>
      <c r="C285" s="5" t="s">
        <v>8</v>
      </c>
      <c r="D285" s="18">
        <v>123</v>
      </c>
      <c r="E285" s="22">
        <v>113.25</v>
      </c>
      <c r="F285" s="6">
        <v>13930</v>
      </c>
      <c r="G285" s="6">
        <v>16437</v>
      </c>
      <c r="H285" s="23">
        <f>SALESTABLE[[#This Row],[Value]]*18%</f>
        <v>2507.4</v>
      </c>
      <c r="I285" s="23"/>
    </row>
    <row r="286" spans="1:9" hidden="1" x14ac:dyDescent="0.25">
      <c r="A286" s="9">
        <v>45787</v>
      </c>
      <c r="B286" s="4" t="s">
        <v>10</v>
      </c>
      <c r="C286" s="5" t="s">
        <v>8</v>
      </c>
      <c r="D286" s="18">
        <v>52</v>
      </c>
      <c r="E286" s="22">
        <v>127.5</v>
      </c>
      <c r="F286" s="6">
        <v>6630</v>
      </c>
      <c r="G286" s="6">
        <v>7823</v>
      </c>
      <c r="H286" s="23">
        <f>SALESTABLE[[#This Row],[Value]]*18%</f>
        <v>1193.3999999999999</v>
      </c>
      <c r="I286" s="23"/>
    </row>
    <row r="287" spans="1:9" x14ac:dyDescent="0.25">
      <c r="A287" s="9">
        <v>45787</v>
      </c>
      <c r="B287" t="s">
        <v>98</v>
      </c>
      <c r="C287" s="5" t="s">
        <v>8</v>
      </c>
      <c r="D287" s="18">
        <v>78</v>
      </c>
      <c r="E287" s="22">
        <v>134.66999999999999</v>
      </c>
      <c r="F287" s="6">
        <v>10504</v>
      </c>
      <c r="G287" s="6">
        <v>12395</v>
      </c>
      <c r="H287" s="23">
        <f>SALESTABLE[[#This Row],[Value]]*18%</f>
        <v>1890.72</v>
      </c>
      <c r="I287" s="23"/>
    </row>
    <row r="288" spans="1:9" hidden="1" x14ac:dyDescent="0.25">
      <c r="A288" s="9">
        <v>45787</v>
      </c>
      <c r="B288" s="4" t="s">
        <v>82</v>
      </c>
      <c r="C288" s="5" t="s">
        <v>8</v>
      </c>
      <c r="D288" s="18">
        <v>150</v>
      </c>
      <c r="E288" s="22">
        <v>195</v>
      </c>
      <c r="F288" s="6">
        <v>29250</v>
      </c>
      <c r="G288" s="6">
        <v>34515</v>
      </c>
      <c r="H288" s="23">
        <f>SALESTABLE[[#This Row],[Value]]*18%</f>
        <v>5265</v>
      </c>
      <c r="I288" s="23"/>
    </row>
    <row r="289" spans="1:9" hidden="1" x14ac:dyDescent="0.25">
      <c r="A289" s="9">
        <v>45787</v>
      </c>
      <c r="B289" s="4" t="s">
        <v>96</v>
      </c>
      <c r="C289" s="5" t="s">
        <v>8</v>
      </c>
      <c r="D289" s="18">
        <v>5</v>
      </c>
      <c r="E289" s="22">
        <v>70</v>
      </c>
      <c r="F289" s="6">
        <v>350</v>
      </c>
      <c r="G289" s="6">
        <v>413</v>
      </c>
      <c r="H289" s="23">
        <f>SALESTABLE[[#This Row],[Value]]*18%</f>
        <v>63</v>
      </c>
      <c r="I289" s="23"/>
    </row>
    <row r="290" spans="1:9" x14ac:dyDescent="0.25">
      <c r="A290" s="9">
        <v>45787</v>
      </c>
      <c r="B290" t="s">
        <v>98</v>
      </c>
      <c r="C290" s="5" t="s">
        <v>8</v>
      </c>
      <c r="D290" s="18">
        <v>10</v>
      </c>
      <c r="E290" s="22">
        <v>115</v>
      </c>
      <c r="F290" s="6">
        <v>1150</v>
      </c>
      <c r="G290" s="6">
        <v>1357</v>
      </c>
      <c r="H290" s="23">
        <f>SALESTABLE[[#This Row],[Value]]*18%</f>
        <v>207</v>
      </c>
      <c r="I290" s="23"/>
    </row>
    <row r="291" spans="1:9" hidden="1" x14ac:dyDescent="0.25">
      <c r="A291" s="9">
        <v>45787</v>
      </c>
      <c r="B291" s="4" t="s">
        <v>16</v>
      </c>
      <c r="C291" s="5" t="s">
        <v>8</v>
      </c>
      <c r="D291" s="18">
        <v>40</v>
      </c>
      <c r="E291" s="22">
        <v>335</v>
      </c>
      <c r="F291" s="6">
        <v>13400</v>
      </c>
      <c r="G291" s="6">
        <v>15812</v>
      </c>
      <c r="H291" s="23">
        <f>SALESTABLE[[#This Row],[Value]]*18%</f>
        <v>2412</v>
      </c>
      <c r="I291" s="23"/>
    </row>
    <row r="292" spans="1:9" x14ac:dyDescent="0.25">
      <c r="A292" s="9">
        <v>45787</v>
      </c>
      <c r="B292" t="s">
        <v>98</v>
      </c>
      <c r="C292" s="5" t="s">
        <v>8</v>
      </c>
      <c r="D292" s="18">
        <v>420</v>
      </c>
      <c r="E292" s="22">
        <v>130</v>
      </c>
      <c r="F292" s="6">
        <v>54600</v>
      </c>
      <c r="G292" s="6">
        <v>64428</v>
      </c>
      <c r="H292" s="23">
        <f>SALESTABLE[[#This Row],[Value]]*18%</f>
        <v>9828</v>
      </c>
      <c r="I292" s="23"/>
    </row>
    <row r="293" spans="1:9" x14ac:dyDescent="0.25">
      <c r="A293" s="9">
        <v>45788</v>
      </c>
      <c r="B293" t="s">
        <v>98</v>
      </c>
      <c r="C293" s="5" t="s">
        <v>8</v>
      </c>
      <c r="D293" s="18">
        <v>26</v>
      </c>
      <c r="E293" s="22">
        <v>130</v>
      </c>
      <c r="F293" s="6">
        <v>3380</v>
      </c>
      <c r="G293" s="6">
        <v>3988</v>
      </c>
      <c r="H293" s="23">
        <f>SALESTABLE[[#This Row],[Value]]*18%</f>
        <v>608.4</v>
      </c>
      <c r="I293" s="23"/>
    </row>
    <row r="294" spans="1:9" hidden="1" x14ac:dyDescent="0.25">
      <c r="A294" s="9">
        <v>45788</v>
      </c>
      <c r="B294" s="4" t="s">
        <v>17</v>
      </c>
      <c r="C294" s="5" t="s">
        <v>8</v>
      </c>
      <c r="D294" s="18">
        <v>61</v>
      </c>
      <c r="E294" s="22">
        <v>130.82</v>
      </c>
      <c r="F294" s="6">
        <v>7980</v>
      </c>
      <c r="G294" s="6">
        <v>9416</v>
      </c>
      <c r="H294" s="23">
        <f>SALESTABLE[[#This Row],[Value]]*18%</f>
        <v>1436.3999999999999</v>
      </c>
      <c r="I294" s="23"/>
    </row>
    <row r="295" spans="1:9" x14ac:dyDescent="0.25">
      <c r="A295" s="9">
        <v>45788</v>
      </c>
      <c r="B295" t="s">
        <v>98</v>
      </c>
      <c r="C295" s="5" t="s">
        <v>8</v>
      </c>
      <c r="D295" s="18">
        <v>52</v>
      </c>
      <c r="E295" s="22">
        <v>115</v>
      </c>
      <c r="F295" s="6">
        <v>5980</v>
      </c>
      <c r="G295" s="6">
        <v>7056</v>
      </c>
      <c r="H295" s="23">
        <f>SALESTABLE[[#This Row],[Value]]*18%</f>
        <v>1076.3999999999999</v>
      </c>
      <c r="I295" s="23"/>
    </row>
    <row r="296" spans="1:9" hidden="1" x14ac:dyDescent="0.25">
      <c r="A296" s="9">
        <v>45788</v>
      </c>
      <c r="B296" s="4" t="s">
        <v>73</v>
      </c>
      <c r="C296" s="5" t="s">
        <v>8</v>
      </c>
      <c r="D296" s="18">
        <v>70</v>
      </c>
      <c r="E296" s="22">
        <v>116.5</v>
      </c>
      <c r="F296" s="6">
        <v>8155</v>
      </c>
      <c r="G296" s="6">
        <v>9623</v>
      </c>
      <c r="H296" s="23">
        <f>SALESTABLE[[#This Row],[Value]]*18%</f>
        <v>1467.8999999999999</v>
      </c>
      <c r="I296" s="23"/>
    </row>
    <row r="297" spans="1:9" hidden="1" x14ac:dyDescent="0.25">
      <c r="A297" s="9">
        <v>45788</v>
      </c>
      <c r="B297" s="4" t="s">
        <v>103</v>
      </c>
      <c r="C297" s="5" t="s">
        <v>8</v>
      </c>
      <c r="D297" s="18">
        <v>520</v>
      </c>
      <c r="E297" s="22">
        <v>83.46</v>
      </c>
      <c r="F297" s="6">
        <v>43400</v>
      </c>
      <c r="G297" s="6">
        <v>51212</v>
      </c>
      <c r="H297" s="23">
        <f>SALESTABLE[[#This Row],[Value]]*18%</f>
        <v>7812</v>
      </c>
      <c r="I297" s="23"/>
    </row>
    <row r="298" spans="1:9" x14ac:dyDescent="0.25">
      <c r="A298" s="9">
        <v>45789</v>
      </c>
      <c r="B298" t="s">
        <v>98</v>
      </c>
      <c r="C298" s="5" t="s">
        <v>8</v>
      </c>
      <c r="D298" s="18">
        <v>26</v>
      </c>
      <c r="E298" s="22">
        <v>107</v>
      </c>
      <c r="F298" s="6">
        <v>2782</v>
      </c>
      <c r="G298" s="6">
        <v>3283</v>
      </c>
      <c r="H298" s="23">
        <f>SALESTABLE[[#This Row],[Value]]*18%</f>
        <v>500.76</v>
      </c>
      <c r="I298" s="23"/>
    </row>
    <row r="299" spans="1:9" hidden="1" x14ac:dyDescent="0.25">
      <c r="A299" s="9">
        <v>45789</v>
      </c>
      <c r="B299" s="4" t="s">
        <v>96</v>
      </c>
      <c r="C299" s="5" t="s">
        <v>8</v>
      </c>
      <c r="D299" s="18">
        <v>210</v>
      </c>
      <c r="E299" s="22">
        <v>62</v>
      </c>
      <c r="F299" s="6">
        <v>13020</v>
      </c>
      <c r="G299" s="6">
        <v>15364</v>
      </c>
      <c r="H299" s="23">
        <f>SALESTABLE[[#This Row],[Value]]*18%</f>
        <v>2343.6</v>
      </c>
      <c r="I299" s="23"/>
    </row>
    <row r="300" spans="1:9" hidden="1" x14ac:dyDescent="0.25">
      <c r="A300" s="9">
        <v>45789</v>
      </c>
      <c r="B300" s="4" t="s">
        <v>96</v>
      </c>
      <c r="C300" s="5" t="s">
        <v>8</v>
      </c>
      <c r="D300" s="18">
        <v>420</v>
      </c>
      <c r="E300" s="22">
        <v>55</v>
      </c>
      <c r="F300" s="6">
        <v>23100</v>
      </c>
      <c r="G300" s="6">
        <v>27258</v>
      </c>
      <c r="H300" s="23">
        <f>SALESTABLE[[#This Row],[Value]]*18%</f>
        <v>4158</v>
      </c>
      <c r="I300" s="23"/>
    </row>
    <row r="301" spans="1:9" x14ac:dyDescent="0.25">
      <c r="A301" s="9">
        <v>45789</v>
      </c>
      <c r="B301" t="s">
        <v>98</v>
      </c>
      <c r="C301" s="5" t="s">
        <v>8</v>
      </c>
      <c r="D301" s="18">
        <v>840</v>
      </c>
      <c r="E301" s="22">
        <v>71</v>
      </c>
      <c r="F301" s="6">
        <v>59640</v>
      </c>
      <c r="G301" s="6">
        <v>70375</v>
      </c>
      <c r="H301" s="23">
        <f>SALESTABLE[[#This Row],[Value]]*18%</f>
        <v>10735.199999999999</v>
      </c>
      <c r="I301" s="23"/>
    </row>
    <row r="302" spans="1:9" hidden="1" x14ac:dyDescent="0.25">
      <c r="A302" s="9">
        <v>45789</v>
      </c>
      <c r="B302" s="4" t="s">
        <v>44</v>
      </c>
      <c r="C302" s="5" t="s">
        <v>8</v>
      </c>
      <c r="D302" s="18">
        <v>182</v>
      </c>
      <c r="E302" s="22">
        <v>106.86</v>
      </c>
      <c r="F302" s="6">
        <v>19448</v>
      </c>
      <c r="G302" s="6">
        <v>22949</v>
      </c>
      <c r="H302" s="23">
        <f>SALESTABLE[[#This Row],[Value]]*18%</f>
        <v>3500.64</v>
      </c>
      <c r="I302" s="23"/>
    </row>
    <row r="303" spans="1:9" hidden="1" x14ac:dyDescent="0.25">
      <c r="A303" s="9">
        <v>45789</v>
      </c>
      <c r="B303" s="4" t="s">
        <v>51</v>
      </c>
      <c r="C303" s="5" t="s">
        <v>8</v>
      </c>
      <c r="D303" s="18">
        <v>78</v>
      </c>
      <c r="E303" s="22">
        <v>115</v>
      </c>
      <c r="F303" s="6">
        <v>8970</v>
      </c>
      <c r="G303" s="6">
        <v>10585</v>
      </c>
      <c r="H303" s="23">
        <f>SALESTABLE[[#This Row],[Value]]*18%</f>
        <v>1614.6</v>
      </c>
      <c r="I303" s="23"/>
    </row>
    <row r="304" spans="1:9" hidden="1" x14ac:dyDescent="0.25">
      <c r="A304" s="9">
        <v>45789</v>
      </c>
      <c r="B304" s="4" t="s">
        <v>96</v>
      </c>
      <c r="C304" s="5" t="s">
        <v>8</v>
      </c>
      <c r="D304" s="18">
        <v>52</v>
      </c>
      <c r="E304" s="22">
        <v>105</v>
      </c>
      <c r="F304" s="6">
        <v>5460</v>
      </c>
      <c r="G304" s="6">
        <v>6443</v>
      </c>
      <c r="H304" s="23">
        <f>SALESTABLE[[#This Row],[Value]]*18%</f>
        <v>982.8</v>
      </c>
      <c r="I304" s="23"/>
    </row>
    <row r="305" spans="1:9" hidden="1" x14ac:dyDescent="0.25">
      <c r="A305" s="9">
        <v>45789</v>
      </c>
      <c r="B305" s="4" t="s">
        <v>86</v>
      </c>
      <c r="C305" s="5" t="s">
        <v>8</v>
      </c>
      <c r="D305" s="18">
        <v>245</v>
      </c>
      <c r="E305" s="22">
        <v>78.709999999999994</v>
      </c>
      <c r="F305" s="6">
        <v>19285</v>
      </c>
      <c r="G305" s="6">
        <v>22756</v>
      </c>
      <c r="H305" s="23">
        <f>SALESTABLE[[#This Row],[Value]]*18%</f>
        <v>3471.2999999999997</v>
      </c>
      <c r="I305" s="23"/>
    </row>
    <row r="306" spans="1:9" x14ac:dyDescent="0.25">
      <c r="A306" s="9">
        <v>45790</v>
      </c>
      <c r="B306" t="s">
        <v>98</v>
      </c>
      <c r="C306" s="5" t="s">
        <v>8</v>
      </c>
      <c r="D306" s="18">
        <v>30</v>
      </c>
      <c r="E306" s="22">
        <v>98</v>
      </c>
      <c r="F306" s="6">
        <v>2940</v>
      </c>
      <c r="G306" s="6">
        <v>3469</v>
      </c>
      <c r="H306" s="23">
        <f>SALESTABLE[[#This Row],[Value]]*18%</f>
        <v>529.19999999999993</v>
      </c>
      <c r="I306" s="23"/>
    </row>
    <row r="307" spans="1:9" x14ac:dyDescent="0.25">
      <c r="A307" s="9">
        <v>45790</v>
      </c>
      <c r="B307" t="s">
        <v>98</v>
      </c>
      <c r="C307" s="5" t="s">
        <v>8</v>
      </c>
      <c r="D307" s="18">
        <v>6</v>
      </c>
      <c r="E307" s="22">
        <v>166.67</v>
      </c>
      <c r="F307" s="6">
        <v>1000</v>
      </c>
      <c r="G307" s="6">
        <v>1164</v>
      </c>
      <c r="H307" s="23">
        <f>SALESTABLE[[#This Row],[Value]]*18%</f>
        <v>180</v>
      </c>
      <c r="I307" s="23"/>
    </row>
    <row r="308" spans="1:9" hidden="1" x14ac:dyDescent="0.25">
      <c r="A308" s="9">
        <v>45790</v>
      </c>
      <c r="B308" s="4" t="s">
        <v>95</v>
      </c>
      <c r="C308" s="5" t="s">
        <v>8</v>
      </c>
      <c r="D308" s="18">
        <v>220</v>
      </c>
      <c r="E308" s="22">
        <v>55</v>
      </c>
      <c r="F308" s="6">
        <v>12100</v>
      </c>
      <c r="G308" s="6">
        <v>14278</v>
      </c>
      <c r="H308" s="23">
        <f>SALESTABLE[[#This Row],[Value]]*18%</f>
        <v>2178</v>
      </c>
      <c r="I308" s="23"/>
    </row>
    <row r="309" spans="1:9" hidden="1" x14ac:dyDescent="0.25">
      <c r="A309" s="9">
        <v>45790</v>
      </c>
      <c r="B309" s="4" t="s">
        <v>94</v>
      </c>
      <c r="C309" s="5" t="s">
        <v>8</v>
      </c>
      <c r="D309" s="18">
        <v>1</v>
      </c>
      <c r="E309" s="22">
        <v>200</v>
      </c>
      <c r="F309" s="6">
        <v>200</v>
      </c>
      <c r="G309" s="6">
        <v>236</v>
      </c>
      <c r="H309" s="23">
        <f>SALESTABLE[[#This Row],[Value]]*18%</f>
        <v>36</v>
      </c>
      <c r="I309" s="23"/>
    </row>
    <row r="310" spans="1:9" x14ac:dyDescent="0.25">
      <c r="A310" s="9">
        <v>45790</v>
      </c>
      <c r="B310" t="s">
        <v>98</v>
      </c>
      <c r="C310" s="5" t="s">
        <v>8</v>
      </c>
      <c r="D310" s="18">
        <v>1000</v>
      </c>
      <c r="E310" s="22">
        <v>40</v>
      </c>
      <c r="F310" s="6">
        <v>40000</v>
      </c>
      <c r="G310" s="6">
        <v>47200</v>
      </c>
      <c r="H310" s="23">
        <f>SALESTABLE[[#This Row],[Value]]*18%</f>
        <v>7200</v>
      </c>
      <c r="I310" s="23"/>
    </row>
    <row r="311" spans="1:9" hidden="1" x14ac:dyDescent="0.25">
      <c r="A311" s="9">
        <v>45790</v>
      </c>
      <c r="B311" s="4" t="s">
        <v>94</v>
      </c>
      <c r="C311" s="5" t="s">
        <v>8</v>
      </c>
      <c r="D311" s="18">
        <v>26</v>
      </c>
      <c r="E311" s="22">
        <v>105</v>
      </c>
      <c r="F311" s="6">
        <v>2730</v>
      </c>
      <c r="G311" s="6">
        <v>3221</v>
      </c>
      <c r="H311" s="23">
        <f>SALESTABLE[[#This Row],[Value]]*18%</f>
        <v>491.4</v>
      </c>
      <c r="I311" s="23"/>
    </row>
    <row r="312" spans="1:9" hidden="1" x14ac:dyDescent="0.25">
      <c r="A312" s="9">
        <v>45790</v>
      </c>
      <c r="B312" s="4" t="s">
        <v>42</v>
      </c>
      <c r="C312" s="5" t="s">
        <v>8</v>
      </c>
      <c r="D312" s="18">
        <v>78</v>
      </c>
      <c r="E312" s="22">
        <v>120</v>
      </c>
      <c r="F312" s="6">
        <v>9360</v>
      </c>
      <c r="G312" s="6">
        <v>11045</v>
      </c>
      <c r="H312" s="23">
        <f>SALESTABLE[[#This Row],[Value]]*18%</f>
        <v>1684.8</v>
      </c>
      <c r="I312" s="23"/>
    </row>
    <row r="313" spans="1:9" hidden="1" x14ac:dyDescent="0.25">
      <c r="A313" s="9">
        <v>45790</v>
      </c>
      <c r="B313" s="4" t="s">
        <v>17</v>
      </c>
      <c r="C313" s="5" t="s">
        <v>8</v>
      </c>
      <c r="D313" s="18">
        <v>35</v>
      </c>
      <c r="E313" s="22">
        <v>105</v>
      </c>
      <c r="F313" s="6">
        <v>3675</v>
      </c>
      <c r="G313" s="6">
        <v>4337</v>
      </c>
      <c r="H313" s="23">
        <f>SALESTABLE[[#This Row],[Value]]*18%</f>
        <v>661.5</v>
      </c>
      <c r="I313" s="23"/>
    </row>
    <row r="314" spans="1:9" hidden="1" x14ac:dyDescent="0.25">
      <c r="A314" s="9">
        <v>45791</v>
      </c>
      <c r="B314" s="4" t="s">
        <v>91</v>
      </c>
      <c r="C314" s="5" t="s">
        <v>8</v>
      </c>
      <c r="D314" s="18">
        <v>210</v>
      </c>
      <c r="E314" s="22">
        <v>118</v>
      </c>
      <c r="F314" s="6">
        <v>24780</v>
      </c>
      <c r="G314" s="6">
        <v>29240</v>
      </c>
      <c r="H314" s="23">
        <f>SALESTABLE[[#This Row],[Value]]*18%</f>
        <v>4460.3999999999996</v>
      </c>
      <c r="I314" s="23"/>
    </row>
    <row r="315" spans="1:9" hidden="1" x14ac:dyDescent="0.25">
      <c r="A315" s="9">
        <v>45791</v>
      </c>
      <c r="B315" s="4" t="s">
        <v>63</v>
      </c>
      <c r="C315" s="5" t="s">
        <v>8</v>
      </c>
      <c r="D315" s="18">
        <v>1890</v>
      </c>
      <c r="E315" s="22">
        <v>136.24</v>
      </c>
      <c r="F315" s="6">
        <v>257490</v>
      </c>
      <c r="G315" s="6">
        <v>303838</v>
      </c>
      <c r="H315" s="23">
        <f>SALESTABLE[[#This Row],[Value]]*18%</f>
        <v>46348.2</v>
      </c>
      <c r="I315" s="23"/>
    </row>
    <row r="316" spans="1:9" hidden="1" x14ac:dyDescent="0.25">
      <c r="A316" s="9">
        <v>45791</v>
      </c>
      <c r="B316" s="4" t="s">
        <v>16</v>
      </c>
      <c r="C316" s="5" t="s">
        <v>8</v>
      </c>
      <c r="D316" s="18">
        <v>40</v>
      </c>
      <c r="E316" s="22">
        <v>335</v>
      </c>
      <c r="F316" s="6">
        <v>13400</v>
      </c>
      <c r="G316" s="6">
        <v>15812</v>
      </c>
      <c r="H316" s="23">
        <f>SALESTABLE[[#This Row],[Value]]*18%</f>
        <v>2412</v>
      </c>
      <c r="I316" s="23"/>
    </row>
    <row r="317" spans="1:9" hidden="1" x14ac:dyDescent="0.25">
      <c r="A317" s="9">
        <v>45791</v>
      </c>
      <c r="B317" s="4" t="s">
        <v>51</v>
      </c>
      <c r="C317" s="5" t="s">
        <v>8</v>
      </c>
      <c r="D317" s="18">
        <v>24</v>
      </c>
      <c r="E317" s="22">
        <v>160</v>
      </c>
      <c r="F317" s="6">
        <v>3840</v>
      </c>
      <c r="G317" s="6">
        <v>4531</v>
      </c>
      <c r="H317" s="23">
        <f>SALESTABLE[[#This Row],[Value]]*18%</f>
        <v>691.19999999999993</v>
      </c>
      <c r="I317" s="23"/>
    </row>
    <row r="318" spans="1:9" x14ac:dyDescent="0.25">
      <c r="A318" s="9">
        <v>45791</v>
      </c>
      <c r="B318" t="s">
        <v>98</v>
      </c>
      <c r="C318" s="5" t="s">
        <v>8</v>
      </c>
      <c r="D318" s="18">
        <v>26</v>
      </c>
      <c r="E318" s="22">
        <v>160</v>
      </c>
      <c r="F318" s="6">
        <v>4160</v>
      </c>
      <c r="G318" s="6">
        <v>4909</v>
      </c>
      <c r="H318" s="23">
        <f>SALESTABLE[[#This Row],[Value]]*18%</f>
        <v>748.8</v>
      </c>
      <c r="I318" s="23"/>
    </row>
    <row r="319" spans="1:9" x14ac:dyDescent="0.25">
      <c r="A319" s="9">
        <v>45791</v>
      </c>
      <c r="B319" t="s">
        <v>98</v>
      </c>
      <c r="C319" s="5" t="s">
        <v>8</v>
      </c>
      <c r="D319" s="18">
        <v>104</v>
      </c>
      <c r="E319" s="22">
        <v>114.5</v>
      </c>
      <c r="F319" s="6">
        <v>11908</v>
      </c>
      <c r="G319" s="6">
        <v>14051</v>
      </c>
      <c r="H319" s="23">
        <f>SALESTABLE[[#This Row],[Value]]*18%</f>
        <v>2143.44</v>
      </c>
      <c r="I319" s="23"/>
    </row>
    <row r="320" spans="1:9" x14ac:dyDescent="0.25">
      <c r="A320" s="9">
        <v>45791</v>
      </c>
      <c r="B320" t="s">
        <v>98</v>
      </c>
      <c r="C320" s="5" t="s">
        <v>8</v>
      </c>
      <c r="D320" s="18">
        <v>156</v>
      </c>
      <c r="E320" s="22">
        <v>110</v>
      </c>
      <c r="F320" s="6">
        <v>17160</v>
      </c>
      <c r="G320" s="6">
        <v>20249</v>
      </c>
      <c r="H320" s="23">
        <f>SALESTABLE[[#This Row],[Value]]*18%</f>
        <v>3088.7999999999997</v>
      </c>
      <c r="I320" s="23"/>
    </row>
    <row r="321" spans="1:9" hidden="1" x14ac:dyDescent="0.25">
      <c r="A321" s="9">
        <v>45791</v>
      </c>
      <c r="B321" s="4" t="s">
        <v>95</v>
      </c>
      <c r="C321" s="5" t="s">
        <v>8</v>
      </c>
      <c r="D321" s="18">
        <v>80</v>
      </c>
      <c r="E321" s="22">
        <v>104.5</v>
      </c>
      <c r="F321" s="6">
        <v>8360</v>
      </c>
      <c r="G321" s="6">
        <v>9865</v>
      </c>
      <c r="H321" s="23">
        <f>SALESTABLE[[#This Row],[Value]]*18%</f>
        <v>1504.8</v>
      </c>
      <c r="I321" s="23"/>
    </row>
    <row r="322" spans="1:9" hidden="1" x14ac:dyDescent="0.25">
      <c r="A322" s="9">
        <v>45793</v>
      </c>
      <c r="B322" s="4" t="s">
        <v>95</v>
      </c>
      <c r="C322" s="5" t="s">
        <v>8</v>
      </c>
      <c r="D322" s="18">
        <v>35</v>
      </c>
      <c r="E322" s="22">
        <v>66</v>
      </c>
      <c r="F322" s="6">
        <v>2310</v>
      </c>
      <c r="G322" s="6">
        <v>2726</v>
      </c>
      <c r="H322" s="23">
        <f>SALESTABLE[[#This Row],[Value]]*18%</f>
        <v>415.8</v>
      </c>
      <c r="I322" s="23"/>
    </row>
    <row r="323" spans="1:9" hidden="1" x14ac:dyDescent="0.25">
      <c r="A323" s="9">
        <v>45793</v>
      </c>
      <c r="B323" s="4" t="s">
        <v>94</v>
      </c>
      <c r="C323" s="5" t="s">
        <v>8</v>
      </c>
      <c r="D323" s="18">
        <v>630</v>
      </c>
      <c r="E323" s="22">
        <v>75</v>
      </c>
      <c r="F323" s="6">
        <v>47250</v>
      </c>
      <c r="G323" s="6">
        <v>55755</v>
      </c>
      <c r="H323" s="23">
        <f>SALESTABLE[[#This Row],[Value]]*18%</f>
        <v>8505</v>
      </c>
      <c r="I323" s="23"/>
    </row>
    <row r="324" spans="1:9" hidden="1" x14ac:dyDescent="0.25">
      <c r="A324" s="9">
        <v>45793</v>
      </c>
      <c r="B324" s="4" t="s">
        <v>95</v>
      </c>
      <c r="C324" s="5" t="s">
        <v>8</v>
      </c>
      <c r="D324" s="18">
        <v>26</v>
      </c>
      <c r="E324" s="22">
        <v>115</v>
      </c>
      <c r="F324" s="6">
        <v>2990</v>
      </c>
      <c r="G324" s="6">
        <v>3528</v>
      </c>
      <c r="H324" s="23">
        <f>SALESTABLE[[#This Row],[Value]]*18%</f>
        <v>538.19999999999993</v>
      </c>
      <c r="I324" s="23"/>
    </row>
    <row r="325" spans="1:9" hidden="1" x14ac:dyDescent="0.25">
      <c r="A325" s="9">
        <v>45793</v>
      </c>
      <c r="B325" s="4" t="s">
        <v>42</v>
      </c>
      <c r="C325" s="5" t="s">
        <v>8</v>
      </c>
      <c r="D325" s="18">
        <v>5</v>
      </c>
      <c r="E325" s="22">
        <v>220</v>
      </c>
      <c r="F325" s="6">
        <v>1100</v>
      </c>
      <c r="G325" s="6">
        <v>1298</v>
      </c>
      <c r="H325" s="23">
        <f>SALESTABLE[[#This Row],[Value]]*18%</f>
        <v>198</v>
      </c>
      <c r="I325" s="23"/>
    </row>
    <row r="326" spans="1:9" hidden="1" x14ac:dyDescent="0.25">
      <c r="A326" s="9">
        <v>45793</v>
      </c>
      <c r="B326" s="4" t="s">
        <v>94</v>
      </c>
      <c r="C326" s="5" t="s">
        <v>8</v>
      </c>
      <c r="D326" s="18">
        <v>26</v>
      </c>
      <c r="E326" s="22">
        <v>103</v>
      </c>
      <c r="F326" s="6">
        <v>2678</v>
      </c>
      <c r="G326" s="6">
        <v>3160</v>
      </c>
      <c r="H326" s="23">
        <f>SALESTABLE[[#This Row],[Value]]*18%</f>
        <v>482.03999999999996</v>
      </c>
      <c r="I326" s="23"/>
    </row>
    <row r="327" spans="1:9" x14ac:dyDescent="0.25">
      <c r="A327" s="9">
        <v>45793</v>
      </c>
      <c r="B327" t="s">
        <v>98</v>
      </c>
      <c r="C327" s="5" t="s">
        <v>8</v>
      </c>
      <c r="D327" s="18">
        <v>66</v>
      </c>
      <c r="E327" s="22">
        <v>151.36000000000001</v>
      </c>
      <c r="F327" s="6">
        <v>9990</v>
      </c>
      <c r="G327" s="6">
        <v>11788</v>
      </c>
      <c r="H327" s="23">
        <f>SALESTABLE[[#This Row],[Value]]*18%</f>
        <v>1798.2</v>
      </c>
      <c r="I327" s="23"/>
    </row>
    <row r="328" spans="1:9" hidden="1" x14ac:dyDescent="0.25">
      <c r="A328" s="9">
        <v>45793</v>
      </c>
      <c r="B328" s="4" t="s">
        <v>63</v>
      </c>
      <c r="C328" s="5" t="s">
        <v>8</v>
      </c>
      <c r="D328" s="18">
        <v>300</v>
      </c>
      <c r="E328" s="22">
        <v>52</v>
      </c>
      <c r="F328" s="6">
        <v>15600</v>
      </c>
      <c r="G328" s="6">
        <v>16380</v>
      </c>
      <c r="H328" s="23">
        <f>SALESTABLE[[#This Row],[Value]]*18%</f>
        <v>2808</v>
      </c>
      <c r="I328" s="23"/>
    </row>
    <row r="329" spans="1:9" hidden="1" x14ac:dyDescent="0.25">
      <c r="A329" s="9">
        <v>45793</v>
      </c>
      <c r="B329" s="4" t="s">
        <v>97</v>
      </c>
      <c r="C329" s="5" t="s">
        <v>8</v>
      </c>
      <c r="D329" s="18">
        <v>5</v>
      </c>
      <c r="E329" s="22">
        <v>120</v>
      </c>
      <c r="F329" s="6">
        <v>600</v>
      </c>
      <c r="G329" s="6">
        <v>708</v>
      </c>
      <c r="H329" s="23">
        <f>SALESTABLE[[#This Row],[Value]]*18%</f>
        <v>108</v>
      </c>
      <c r="I329" s="23"/>
    </row>
    <row r="330" spans="1:9" hidden="1" x14ac:dyDescent="0.25">
      <c r="A330" s="9">
        <v>45793</v>
      </c>
      <c r="B330" s="4" t="s">
        <v>14</v>
      </c>
      <c r="C330" s="5" t="s">
        <v>8</v>
      </c>
      <c r="D330" s="18">
        <v>26</v>
      </c>
      <c r="E330" s="22">
        <v>108</v>
      </c>
      <c r="F330" s="6">
        <v>2808</v>
      </c>
      <c r="G330" s="6">
        <v>3313</v>
      </c>
      <c r="H330" s="23">
        <f>SALESTABLE[[#This Row],[Value]]*18%</f>
        <v>505.44</v>
      </c>
      <c r="I330" s="23"/>
    </row>
    <row r="331" spans="1:9" hidden="1" x14ac:dyDescent="0.25">
      <c r="A331" s="9">
        <v>45793</v>
      </c>
      <c r="B331" s="4" t="s">
        <v>63</v>
      </c>
      <c r="C331" s="5" t="s">
        <v>8</v>
      </c>
      <c r="D331" s="18">
        <v>150</v>
      </c>
      <c r="E331" s="22">
        <v>52</v>
      </c>
      <c r="F331" s="6">
        <v>7800</v>
      </c>
      <c r="G331" s="6">
        <v>8190</v>
      </c>
      <c r="H331" s="23">
        <f>SALESTABLE[[#This Row],[Value]]*18%</f>
        <v>1404</v>
      </c>
      <c r="I331" s="23"/>
    </row>
    <row r="332" spans="1:9" x14ac:dyDescent="0.25">
      <c r="A332" s="9">
        <v>45793</v>
      </c>
      <c r="B332" t="s">
        <v>98</v>
      </c>
      <c r="C332" s="5" t="s">
        <v>8</v>
      </c>
      <c r="D332" s="18">
        <v>5</v>
      </c>
      <c r="E332" s="22">
        <v>230</v>
      </c>
      <c r="F332" s="6">
        <v>1150</v>
      </c>
      <c r="G332" s="6">
        <v>1357</v>
      </c>
      <c r="H332" s="23">
        <f>SALESTABLE[[#This Row],[Value]]*18%</f>
        <v>207</v>
      </c>
      <c r="I332" s="23"/>
    </row>
    <row r="333" spans="1:9" hidden="1" x14ac:dyDescent="0.25">
      <c r="A333" s="9">
        <v>45793</v>
      </c>
      <c r="B333" s="4" t="s">
        <v>84</v>
      </c>
      <c r="C333" s="5" t="s">
        <v>8</v>
      </c>
      <c r="D333" s="18">
        <v>5</v>
      </c>
      <c r="E333" s="22">
        <v>200</v>
      </c>
      <c r="F333" s="6">
        <v>1000</v>
      </c>
      <c r="G333" s="6">
        <v>1180</v>
      </c>
      <c r="H333" s="23">
        <f>SALESTABLE[[#This Row],[Value]]*18%</f>
        <v>180</v>
      </c>
      <c r="I333" s="23"/>
    </row>
    <row r="334" spans="1:9" hidden="1" x14ac:dyDescent="0.25">
      <c r="A334" s="9">
        <v>45793</v>
      </c>
      <c r="B334" s="4" t="s">
        <v>96</v>
      </c>
      <c r="C334" s="5" t="s">
        <v>8</v>
      </c>
      <c r="D334" s="18">
        <v>35</v>
      </c>
      <c r="E334" s="22">
        <v>62</v>
      </c>
      <c r="F334" s="6">
        <v>2170</v>
      </c>
      <c r="G334" s="6">
        <v>2561</v>
      </c>
      <c r="H334" s="23">
        <f>SALESTABLE[[#This Row],[Value]]*18%</f>
        <v>390.59999999999997</v>
      </c>
      <c r="I334" s="23"/>
    </row>
    <row r="335" spans="1:9" hidden="1" x14ac:dyDescent="0.25">
      <c r="A335" s="9">
        <v>45794</v>
      </c>
      <c r="B335" s="4" t="s">
        <v>96</v>
      </c>
      <c r="C335" s="5" t="s">
        <v>8</v>
      </c>
      <c r="D335" s="18">
        <v>210</v>
      </c>
      <c r="E335" s="22">
        <v>90</v>
      </c>
      <c r="F335" s="6">
        <v>18900</v>
      </c>
      <c r="G335" s="6">
        <v>22302</v>
      </c>
      <c r="H335" s="23">
        <f>SALESTABLE[[#This Row],[Value]]*18%</f>
        <v>3402</v>
      </c>
      <c r="I335" s="23"/>
    </row>
    <row r="336" spans="1:9" hidden="1" x14ac:dyDescent="0.25">
      <c r="A336" s="9">
        <v>45794</v>
      </c>
      <c r="B336" s="4" t="s">
        <v>11</v>
      </c>
      <c r="C336" s="5" t="s">
        <v>8</v>
      </c>
      <c r="D336" s="18">
        <v>35</v>
      </c>
      <c r="E336" s="22">
        <v>70</v>
      </c>
      <c r="F336" s="6">
        <v>2450</v>
      </c>
      <c r="G336" s="6">
        <v>2891</v>
      </c>
      <c r="H336" s="23">
        <f>SALESTABLE[[#This Row],[Value]]*18%</f>
        <v>441</v>
      </c>
      <c r="I336" s="23"/>
    </row>
    <row r="337" spans="1:9" hidden="1" x14ac:dyDescent="0.25">
      <c r="A337" s="9">
        <v>45794</v>
      </c>
      <c r="B337" s="4" t="s">
        <v>93</v>
      </c>
      <c r="C337" s="5" t="s">
        <v>8</v>
      </c>
      <c r="D337" s="18">
        <v>182</v>
      </c>
      <c r="E337" s="22">
        <v>115</v>
      </c>
      <c r="F337" s="6">
        <v>20930</v>
      </c>
      <c r="G337" s="6">
        <v>24697</v>
      </c>
      <c r="H337" s="23">
        <f>SALESTABLE[[#This Row],[Value]]*18%</f>
        <v>3767.3999999999996</v>
      </c>
      <c r="I337" s="23"/>
    </row>
    <row r="338" spans="1:9" hidden="1" x14ac:dyDescent="0.25">
      <c r="A338" s="9">
        <v>45794</v>
      </c>
      <c r="B338" s="4" t="s">
        <v>94</v>
      </c>
      <c r="C338" s="5" t="s">
        <v>8</v>
      </c>
      <c r="D338" s="18">
        <v>252</v>
      </c>
      <c r="E338" s="22">
        <v>77.06</v>
      </c>
      <c r="F338" s="6">
        <v>19420</v>
      </c>
      <c r="G338" s="6">
        <v>22916</v>
      </c>
      <c r="H338" s="23">
        <f>SALESTABLE[[#This Row],[Value]]*18%</f>
        <v>3495.6</v>
      </c>
      <c r="I338" s="23"/>
    </row>
    <row r="339" spans="1:9" hidden="1" x14ac:dyDescent="0.25">
      <c r="A339" s="9">
        <v>45794</v>
      </c>
      <c r="B339" s="4" t="s">
        <v>30</v>
      </c>
      <c r="C339" s="5" t="s">
        <v>8</v>
      </c>
      <c r="D339" s="18">
        <v>26</v>
      </c>
      <c r="E339" s="22">
        <v>115</v>
      </c>
      <c r="F339" s="6">
        <v>3800</v>
      </c>
      <c r="G339" s="6">
        <v>4445</v>
      </c>
      <c r="H339" s="23">
        <f>SALESTABLE[[#This Row],[Value]]*18%</f>
        <v>684</v>
      </c>
      <c r="I339" s="23"/>
    </row>
    <row r="340" spans="1:9" x14ac:dyDescent="0.25">
      <c r="A340" s="9">
        <v>45794</v>
      </c>
      <c r="B340" t="s">
        <v>98</v>
      </c>
      <c r="C340" s="5" t="s">
        <v>8</v>
      </c>
      <c r="D340" s="18">
        <v>26</v>
      </c>
      <c r="E340" s="22">
        <v>115</v>
      </c>
      <c r="F340" s="6">
        <v>6250</v>
      </c>
      <c r="G340" s="6">
        <v>6985</v>
      </c>
      <c r="H340" s="23">
        <f>SALESTABLE[[#This Row],[Value]]*18%</f>
        <v>1125</v>
      </c>
      <c r="I340" s="23"/>
    </row>
    <row r="341" spans="1:9" hidden="1" x14ac:dyDescent="0.25">
      <c r="A341" s="9">
        <v>45794</v>
      </c>
      <c r="B341" s="4" t="s">
        <v>94</v>
      </c>
      <c r="C341" s="5" t="s">
        <v>8</v>
      </c>
      <c r="D341" s="18">
        <v>3</v>
      </c>
      <c r="E341" s="22">
        <v>110</v>
      </c>
      <c r="F341" s="6">
        <v>330</v>
      </c>
      <c r="G341" s="6">
        <v>389</v>
      </c>
      <c r="H341" s="23">
        <f>SALESTABLE[[#This Row],[Value]]*18%</f>
        <v>59.4</v>
      </c>
      <c r="I341" s="23"/>
    </row>
    <row r="342" spans="1:9" hidden="1" x14ac:dyDescent="0.25">
      <c r="A342" s="9">
        <v>45794</v>
      </c>
      <c r="B342" s="4" t="s">
        <v>53</v>
      </c>
      <c r="C342" s="5" t="s">
        <v>8</v>
      </c>
      <c r="D342" s="18">
        <v>1050</v>
      </c>
      <c r="E342" s="22">
        <v>76</v>
      </c>
      <c r="F342" s="6">
        <v>79800</v>
      </c>
      <c r="G342" s="6">
        <v>94164</v>
      </c>
      <c r="H342" s="23">
        <f>SALESTABLE[[#This Row],[Value]]*18%</f>
        <v>14364</v>
      </c>
      <c r="I342" s="23"/>
    </row>
    <row r="343" spans="1:9" hidden="1" x14ac:dyDescent="0.25">
      <c r="A343" s="9">
        <v>45794</v>
      </c>
      <c r="B343" s="4" t="s">
        <v>97</v>
      </c>
      <c r="C343" s="5" t="s">
        <v>8</v>
      </c>
      <c r="D343" s="18">
        <v>236</v>
      </c>
      <c r="E343" s="22">
        <v>126.57</v>
      </c>
      <c r="F343" s="6">
        <v>29870</v>
      </c>
      <c r="G343" s="6">
        <v>35247</v>
      </c>
      <c r="H343" s="23">
        <f>SALESTABLE[[#This Row],[Value]]*18%</f>
        <v>5376.5999999999995</v>
      </c>
      <c r="I343" s="23"/>
    </row>
    <row r="344" spans="1:9" x14ac:dyDescent="0.25">
      <c r="A344" s="9">
        <v>45795</v>
      </c>
      <c r="B344" t="s">
        <v>98</v>
      </c>
      <c r="C344" s="5" t="s">
        <v>8</v>
      </c>
      <c r="D344" s="18">
        <v>630</v>
      </c>
      <c r="E344" s="22">
        <v>70</v>
      </c>
      <c r="F344" s="6">
        <v>44100</v>
      </c>
      <c r="G344" s="6">
        <v>52038</v>
      </c>
      <c r="H344" s="23">
        <f>SALESTABLE[[#This Row],[Value]]*18%</f>
        <v>7938</v>
      </c>
      <c r="I344" s="23"/>
    </row>
    <row r="345" spans="1:9" x14ac:dyDescent="0.25">
      <c r="A345" s="9">
        <v>45795</v>
      </c>
      <c r="B345" t="s">
        <v>98</v>
      </c>
      <c r="C345" s="5" t="s">
        <v>8</v>
      </c>
      <c r="D345" s="18">
        <v>210</v>
      </c>
      <c r="E345" s="22">
        <v>90</v>
      </c>
      <c r="F345" s="6">
        <v>18900</v>
      </c>
      <c r="G345" s="6">
        <v>22302</v>
      </c>
      <c r="H345" s="23">
        <f>SALESTABLE[[#This Row],[Value]]*18%</f>
        <v>3402</v>
      </c>
      <c r="I345" s="23"/>
    </row>
    <row r="346" spans="1:9" hidden="1" x14ac:dyDescent="0.25">
      <c r="A346" s="9">
        <v>45795</v>
      </c>
      <c r="B346" s="4" t="s">
        <v>94</v>
      </c>
      <c r="C346" s="5" t="s">
        <v>8</v>
      </c>
      <c r="D346" s="18">
        <v>15</v>
      </c>
      <c r="E346" s="22">
        <v>83</v>
      </c>
      <c r="F346" s="6">
        <v>1245</v>
      </c>
      <c r="G346" s="6">
        <v>1469</v>
      </c>
      <c r="H346" s="23">
        <f>SALESTABLE[[#This Row],[Value]]*18%</f>
        <v>224.1</v>
      </c>
      <c r="I346" s="23"/>
    </row>
    <row r="347" spans="1:9" hidden="1" x14ac:dyDescent="0.25">
      <c r="A347" s="9">
        <v>45795</v>
      </c>
      <c r="B347" s="4" t="s">
        <v>97</v>
      </c>
      <c r="C347" s="5" t="s">
        <v>8</v>
      </c>
      <c r="D347" s="18">
        <v>26</v>
      </c>
      <c r="E347" s="22">
        <v>128</v>
      </c>
      <c r="F347" s="6">
        <v>3328</v>
      </c>
      <c r="G347" s="6">
        <v>3927</v>
      </c>
      <c r="H347" s="23">
        <f>SALESTABLE[[#This Row],[Value]]*18%</f>
        <v>599.04</v>
      </c>
      <c r="I347" s="23"/>
    </row>
    <row r="348" spans="1:9" hidden="1" x14ac:dyDescent="0.25">
      <c r="A348" s="9">
        <v>45795</v>
      </c>
      <c r="B348" s="4" t="s">
        <v>97</v>
      </c>
      <c r="C348" s="5" t="s">
        <v>8</v>
      </c>
      <c r="D348" s="18">
        <v>10</v>
      </c>
      <c r="E348" s="22">
        <v>160</v>
      </c>
      <c r="F348" s="6">
        <v>1600</v>
      </c>
      <c r="G348" s="6">
        <v>1888</v>
      </c>
      <c r="H348" s="23">
        <f>SALESTABLE[[#This Row],[Value]]*18%</f>
        <v>288</v>
      </c>
      <c r="I348" s="23"/>
    </row>
    <row r="349" spans="1:9" hidden="1" x14ac:dyDescent="0.25">
      <c r="A349" s="9">
        <v>45795</v>
      </c>
      <c r="B349" s="4" t="s">
        <v>96</v>
      </c>
      <c r="C349" s="5" t="s">
        <v>8</v>
      </c>
      <c r="D349" s="18">
        <v>52</v>
      </c>
      <c r="E349" s="22">
        <v>125</v>
      </c>
      <c r="F349" s="6">
        <v>6500</v>
      </c>
      <c r="G349" s="6">
        <v>7670</v>
      </c>
      <c r="H349" s="23">
        <f>SALESTABLE[[#This Row],[Value]]*18%</f>
        <v>1170</v>
      </c>
      <c r="I349" s="23"/>
    </row>
    <row r="350" spans="1:9" hidden="1" x14ac:dyDescent="0.25">
      <c r="A350" s="9">
        <v>45796</v>
      </c>
      <c r="B350" s="4" t="s">
        <v>96</v>
      </c>
      <c r="C350" s="5" t="s">
        <v>8</v>
      </c>
      <c r="D350" s="18">
        <v>52</v>
      </c>
      <c r="E350" s="22">
        <v>120</v>
      </c>
      <c r="F350" s="6">
        <v>6240</v>
      </c>
      <c r="G350" s="6">
        <v>7363</v>
      </c>
      <c r="H350" s="23">
        <f>SALESTABLE[[#This Row],[Value]]*18%</f>
        <v>1123.2</v>
      </c>
      <c r="I350" s="23"/>
    </row>
    <row r="351" spans="1:9" x14ac:dyDescent="0.25">
      <c r="A351" s="9">
        <v>45796</v>
      </c>
      <c r="B351" t="s">
        <v>98</v>
      </c>
      <c r="C351" s="5" t="s">
        <v>8</v>
      </c>
      <c r="D351" s="18">
        <v>420</v>
      </c>
      <c r="E351" s="22">
        <v>71</v>
      </c>
      <c r="F351" s="6">
        <v>29820</v>
      </c>
      <c r="G351" s="6">
        <v>35188</v>
      </c>
      <c r="H351" s="23">
        <f>SALESTABLE[[#This Row],[Value]]*18%</f>
        <v>5367.5999999999995</v>
      </c>
      <c r="I351" s="23"/>
    </row>
    <row r="352" spans="1:9" hidden="1" x14ac:dyDescent="0.25">
      <c r="A352" s="9">
        <v>45796</v>
      </c>
      <c r="B352" s="4" t="s">
        <v>42</v>
      </c>
      <c r="C352" s="5" t="s">
        <v>8</v>
      </c>
      <c r="D352" s="18">
        <v>70</v>
      </c>
      <c r="E352" s="22">
        <v>95</v>
      </c>
      <c r="F352" s="6">
        <v>6650</v>
      </c>
      <c r="G352" s="6">
        <v>7847</v>
      </c>
      <c r="H352" s="23">
        <f>SALESTABLE[[#This Row],[Value]]*18%</f>
        <v>1197</v>
      </c>
      <c r="I352" s="23"/>
    </row>
    <row r="353" spans="1:9" hidden="1" x14ac:dyDescent="0.25">
      <c r="A353" s="9">
        <v>45796</v>
      </c>
      <c r="B353" s="4" t="s">
        <v>96</v>
      </c>
      <c r="C353" s="5" t="s">
        <v>8</v>
      </c>
      <c r="D353" s="18">
        <v>208</v>
      </c>
      <c r="E353" s="22">
        <v>85</v>
      </c>
      <c r="F353" s="6">
        <v>17680</v>
      </c>
      <c r="G353" s="6">
        <v>20862</v>
      </c>
      <c r="H353" s="23">
        <f>SALESTABLE[[#This Row],[Value]]*18%</f>
        <v>3182.4</v>
      </c>
      <c r="I353" s="23"/>
    </row>
    <row r="354" spans="1:9" x14ac:dyDescent="0.25">
      <c r="A354" s="9">
        <v>45796</v>
      </c>
      <c r="B354" t="s">
        <v>98</v>
      </c>
      <c r="C354" s="5" t="s">
        <v>8</v>
      </c>
      <c r="D354" s="18">
        <v>26</v>
      </c>
      <c r="E354" s="22">
        <v>125</v>
      </c>
      <c r="F354" s="6">
        <v>3250</v>
      </c>
      <c r="G354" s="6">
        <v>3835</v>
      </c>
      <c r="H354" s="23">
        <f>SALESTABLE[[#This Row],[Value]]*18%</f>
        <v>585</v>
      </c>
      <c r="I354" s="23"/>
    </row>
    <row r="355" spans="1:9" hidden="1" x14ac:dyDescent="0.25">
      <c r="A355" s="9">
        <v>45797</v>
      </c>
      <c r="B355" s="4" t="s">
        <v>67</v>
      </c>
      <c r="C355" s="5" t="s">
        <v>8</v>
      </c>
      <c r="D355" s="18">
        <v>57</v>
      </c>
      <c r="E355" s="22">
        <v>131.13999999999999</v>
      </c>
      <c r="F355" s="6">
        <v>7475</v>
      </c>
      <c r="G355" s="6">
        <v>8821</v>
      </c>
      <c r="H355" s="23">
        <f>SALESTABLE[[#This Row],[Value]]*18%</f>
        <v>1345.5</v>
      </c>
      <c r="I355" s="23"/>
    </row>
    <row r="356" spans="1:9" hidden="1" x14ac:dyDescent="0.25">
      <c r="A356" s="9">
        <v>45797</v>
      </c>
      <c r="B356" s="4" t="s">
        <v>17</v>
      </c>
      <c r="C356" s="5" t="s">
        <v>8</v>
      </c>
      <c r="D356" s="18">
        <v>630</v>
      </c>
      <c r="E356" s="22">
        <v>78.67</v>
      </c>
      <c r="F356" s="6">
        <v>49560</v>
      </c>
      <c r="G356" s="6">
        <v>58481</v>
      </c>
      <c r="H356" s="23">
        <f>SALESTABLE[[#This Row],[Value]]*18%</f>
        <v>8920.7999999999993</v>
      </c>
      <c r="I356" s="23"/>
    </row>
    <row r="357" spans="1:9" hidden="1" x14ac:dyDescent="0.25">
      <c r="A357" s="9">
        <v>45797</v>
      </c>
      <c r="B357" s="4" t="s">
        <v>94</v>
      </c>
      <c r="C357" s="5" t="s">
        <v>8</v>
      </c>
      <c r="D357" s="18">
        <v>5</v>
      </c>
      <c r="E357" s="22">
        <v>83</v>
      </c>
      <c r="F357" s="6">
        <v>415</v>
      </c>
      <c r="G357" s="6">
        <v>490</v>
      </c>
      <c r="H357" s="23">
        <f>SALESTABLE[[#This Row],[Value]]*18%</f>
        <v>74.7</v>
      </c>
      <c r="I357" s="23"/>
    </row>
    <row r="358" spans="1:9" hidden="1" x14ac:dyDescent="0.25">
      <c r="A358" s="9">
        <v>45797</v>
      </c>
      <c r="B358" s="4" t="s">
        <v>11</v>
      </c>
      <c r="C358" s="5" t="s">
        <v>8</v>
      </c>
      <c r="D358" s="18">
        <v>70</v>
      </c>
      <c r="E358" s="22">
        <v>70</v>
      </c>
      <c r="F358" s="6">
        <v>4900</v>
      </c>
      <c r="G358" s="6">
        <v>5782</v>
      </c>
      <c r="H358" s="23">
        <f>SALESTABLE[[#This Row],[Value]]*18%</f>
        <v>882</v>
      </c>
      <c r="I358" s="23"/>
    </row>
    <row r="359" spans="1:9" hidden="1" x14ac:dyDescent="0.25">
      <c r="A359" s="9">
        <v>45797</v>
      </c>
      <c r="B359" s="4" t="s">
        <v>93</v>
      </c>
      <c r="C359" s="5" t="s">
        <v>8</v>
      </c>
      <c r="D359" s="18">
        <v>210</v>
      </c>
      <c r="E359" s="22">
        <v>80</v>
      </c>
      <c r="F359" s="6">
        <v>16800</v>
      </c>
      <c r="G359" s="6">
        <v>19824</v>
      </c>
      <c r="H359" s="23">
        <f>SALESTABLE[[#This Row],[Value]]*18%</f>
        <v>3024</v>
      </c>
      <c r="I359" s="23"/>
    </row>
    <row r="360" spans="1:9" hidden="1" x14ac:dyDescent="0.25">
      <c r="A360" s="9">
        <v>45797</v>
      </c>
      <c r="B360" s="4" t="s">
        <v>96</v>
      </c>
      <c r="C360" s="5" t="s">
        <v>8</v>
      </c>
      <c r="D360" s="18">
        <v>182</v>
      </c>
      <c r="E360" s="22">
        <v>107.86</v>
      </c>
      <c r="F360" s="6">
        <v>19630</v>
      </c>
      <c r="G360" s="6">
        <v>23163</v>
      </c>
      <c r="H360" s="23">
        <f>SALESTABLE[[#This Row],[Value]]*18%</f>
        <v>3533.4</v>
      </c>
      <c r="I360" s="23"/>
    </row>
    <row r="361" spans="1:9" hidden="1" x14ac:dyDescent="0.25">
      <c r="A361" s="9">
        <v>45797</v>
      </c>
      <c r="B361" s="4" t="s">
        <v>80</v>
      </c>
      <c r="C361" s="5" t="s">
        <v>8</v>
      </c>
      <c r="D361" s="18">
        <v>420</v>
      </c>
      <c r="E361" s="22">
        <v>70</v>
      </c>
      <c r="F361" s="6">
        <v>29400</v>
      </c>
      <c r="G361" s="6">
        <v>34692</v>
      </c>
      <c r="H361" s="23">
        <f>SALESTABLE[[#This Row],[Value]]*18%</f>
        <v>5292</v>
      </c>
      <c r="I361" s="23"/>
    </row>
    <row r="362" spans="1:9" x14ac:dyDescent="0.25">
      <c r="A362" s="9">
        <v>45797</v>
      </c>
      <c r="B362" t="s">
        <v>98</v>
      </c>
      <c r="C362" s="5" t="s">
        <v>8</v>
      </c>
      <c r="D362" s="18">
        <v>78</v>
      </c>
      <c r="E362" s="22">
        <v>125</v>
      </c>
      <c r="F362" s="6">
        <v>9750</v>
      </c>
      <c r="G362" s="6">
        <v>11505</v>
      </c>
      <c r="H362" s="23">
        <f>SALESTABLE[[#This Row],[Value]]*18%</f>
        <v>1755</v>
      </c>
      <c r="I362" s="23"/>
    </row>
    <row r="363" spans="1:9" hidden="1" x14ac:dyDescent="0.25">
      <c r="A363" s="9">
        <v>45797</v>
      </c>
      <c r="B363" s="4" t="s">
        <v>63</v>
      </c>
      <c r="C363" s="5" t="s">
        <v>8</v>
      </c>
      <c r="D363" s="18">
        <v>26</v>
      </c>
      <c r="E363" s="22">
        <v>115</v>
      </c>
      <c r="F363" s="6">
        <v>61053</v>
      </c>
      <c r="G363" s="6">
        <v>72043</v>
      </c>
      <c r="H363" s="23">
        <f>SALESTABLE[[#This Row],[Value]]*18%</f>
        <v>10989.539999999999</v>
      </c>
      <c r="I363" s="23"/>
    </row>
    <row r="364" spans="1:9" hidden="1" x14ac:dyDescent="0.25">
      <c r="A364" s="9">
        <v>45797</v>
      </c>
      <c r="B364" s="4" t="s">
        <v>75</v>
      </c>
      <c r="C364" s="5" t="s">
        <v>8</v>
      </c>
      <c r="D364" s="18">
        <v>61</v>
      </c>
      <c r="E364" s="22">
        <v>118</v>
      </c>
      <c r="F364" s="6">
        <v>7198</v>
      </c>
      <c r="G364" s="6">
        <v>8494</v>
      </c>
      <c r="H364" s="23">
        <f>SALESTABLE[[#This Row],[Value]]*18%</f>
        <v>1295.6399999999999</v>
      </c>
      <c r="I364" s="23"/>
    </row>
    <row r="365" spans="1:9" hidden="1" x14ac:dyDescent="0.25">
      <c r="A365" s="9">
        <v>45798</v>
      </c>
      <c r="B365" s="4" t="s">
        <v>51</v>
      </c>
      <c r="C365" s="5" t="s">
        <v>8</v>
      </c>
      <c r="D365" s="18">
        <v>52</v>
      </c>
      <c r="E365" s="22">
        <v>112.5</v>
      </c>
      <c r="F365" s="6">
        <v>5850</v>
      </c>
      <c r="G365" s="6">
        <v>6903</v>
      </c>
      <c r="H365" s="23">
        <f>SALESTABLE[[#This Row],[Value]]*18%</f>
        <v>1053</v>
      </c>
      <c r="I365" s="23"/>
    </row>
    <row r="366" spans="1:9" hidden="1" x14ac:dyDescent="0.25">
      <c r="A366" s="9">
        <v>45798</v>
      </c>
      <c r="B366" s="4" t="s">
        <v>31</v>
      </c>
      <c r="C366" s="5" t="s">
        <v>8</v>
      </c>
      <c r="D366" s="18">
        <v>3</v>
      </c>
      <c r="E366" s="22">
        <v>90</v>
      </c>
      <c r="F366" s="6">
        <v>270</v>
      </c>
      <c r="G366" s="6">
        <v>319</v>
      </c>
      <c r="H366" s="23">
        <f>SALESTABLE[[#This Row],[Value]]*18%</f>
        <v>48.6</v>
      </c>
      <c r="I366" s="23"/>
    </row>
    <row r="367" spans="1:9" x14ac:dyDescent="0.25">
      <c r="A367" s="9">
        <v>45798</v>
      </c>
      <c r="B367" t="s">
        <v>98</v>
      </c>
      <c r="C367" s="5" t="s">
        <v>8</v>
      </c>
      <c r="D367" s="18">
        <v>83</v>
      </c>
      <c r="E367" s="22">
        <v>126.02</v>
      </c>
      <c r="F367" s="6">
        <v>10460</v>
      </c>
      <c r="G367" s="6">
        <v>12343</v>
      </c>
      <c r="H367" s="23">
        <f>SALESTABLE[[#This Row],[Value]]*18%</f>
        <v>1882.8</v>
      </c>
      <c r="I367" s="23"/>
    </row>
    <row r="368" spans="1:9" x14ac:dyDescent="0.25">
      <c r="A368" s="9">
        <v>45800</v>
      </c>
      <c r="B368" t="s">
        <v>98</v>
      </c>
      <c r="C368" s="5" t="s">
        <v>8</v>
      </c>
      <c r="D368" s="18">
        <v>52</v>
      </c>
      <c r="E368" s="22">
        <v>112.5</v>
      </c>
      <c r="F368" s="6">
        <v>5850</v>
      </c>
      <c r="G368" s="6">
        <v>6903</v>
      </c>
      <c r="H368" s="23">
        <f>SALESTABLE[[#This Row],[Value]]*18%</f>
        <v>1053</v>
      </c>
      <c r="I368" s="23"/>
    </row>
    <row r="369" spans="1:9" hidden="1" x14ac:dyDescent="0.25">
      <c r="A369" s="9">
        <v>45800</v>
      </c>
      <c r="B369" s="4" t="s">
        <v>67</v>
      </c>
      <c r="C369" s="5" t="s">
        <v>8</v>
      </c>
      <c r="D369" s="18">
        <v>340</v>
      </c>
      <c r="E369" s="22">
        <v>118.82</v>
      </c>
      <c r="F369" s="6">
        <v>40400</v>
      </c>
      <c r="G369" s="6">
        <v>47672</v>
      </c>
      <c r="H369" s="23">
        <f>SALESTABLE[[#This Row],[Value]]*18%</f>
        <v>7272</v>
      </c>
      <c r="I369" s="23"/>
    </row>
    <row r="370" spans="1:9" hidden="1" x14ac:dyDescent="0.25">
      <c r="A370" s="9">
        <v>45800</v>
      </c>
      <c r="B370" s="4" t="s">
        <v>42</v>
      </c>
      <c r="C370" s="5" t="s">
        <v>8</v>
      </c>
      <c r="D370" s="18">
        <v>210</v>
      </c>
      <c r="E370" s="22">
        <v>90</v>
      </c>
      <c r="F370" s="6">
        <v>18900</v>
      </c>
      <c r="G370" s="6">
        <v>22302</v>
      </c>
      <c r="H370" s="23">
        <f>SALESTABLE[[#This Row],[Value]]*18%</f>
        <v>3402</v>
      </c>
      <c r="I370" s="23"/>
    </row>
    <row r="371" spans="1:9" hidden="1" x14ac:dyDescent="0.25">
      <c r="A371" s="9">
        <v>45800</v>
      </c>
      <c r="B371" s="4" t="s">
        <v>95</v>
      </c>
      <c r="C371" s="5" t="s">
        <v>8</v>
      </c>
      <c r="D371" s="18">
        <v>220</v>
      </c>
      <c r="E371" s="22">
        <v>55</v>
      </c>
      <c r="F371" s="6">
        <v>12100</v>
      </c>
      <c r="G371" s="6">
        <v>14278</v>
      </c>
      <c r="H371" s="23">
        <f>SALESTABLE[[#This Row],[Value]]*18%</f>
        <v>2178</v>
      </c>
      <c r="I371" s="23"/>
    </row>
    <row r="372" spans="1:9" x14ac:dyDescent="0.25">
      <c r="A372" s="9">
        <v>45800</v>
      </c>
      <c r="B372" t="s">
        <v>98</v>
      </c>
      <c r="C372" s="5" t="s">
        <v>8</v>
      </c>
      <c r="D372" s="18">
        <v>35</v>
      </c>
      <c r="E372" s="22">
        <v>110</v>
      </c>
      <c r="F372" s="6">
        <v>3850</v>
      </c>
      <c r="G372" s="6">
        <v>4543</v>
      </c>
      <c r="H372" s="23">
        <f>SALESTABLE[[#This Row],[Value]]*18%</f>
        <v>693</v>
      </c>
      <c r="I372" s="23"/>
    </row>
    <row r="373" spans="1:9" hidden="1" x14ac:dyDescent="0.25">
      <c r="A373" s="9">
        <v>45800</v>
      </c>
      <c r="B373" s="4" t="s">
        <v>95</v>
      </c>
      <c r="C373" s="5" t="s">
        <v>8</v>
      </c>
      <c r="D373" s="18">
        <v>87</v>
      </c>
      <c r="E373" s="22">
        <v>85.98</v>
      </c>
      <c r="F373" s="6">
        <v>7480</v>
      </c>
      <c r="G373" s="6">
        <v>8826</v>
      </c>
      <c r="H373" s="23">
        <f>SALESTABLE[[#This Row],[Value]]*18%</f>
        <v>1346.3999999999999</v>
      </c>
      <c r="I373" s="23"/>
    </row>
    <row r="374" spans="1:9" hidden="1" x14ac:dyDescent="0.25">
      <c r="A374" s="9">
        <v>45800</v>
      </c>
      <c r="B374" s="4" t="s">
        <v>63</v>
      </c>
      <c r="C374" s="5" t="s">
        <v>8</v>
      </c>
      <c r="D374" s="18">
        <v>195</v>
      </c>
      <c r="E374" s="22">
        <v>253</v>
      </c>
      <c r="F374" s="6">
        <v>49335</v>
      </c>
      <c r="G374" s="6">
        <v>58215</v>
      </c>
      <c r="H374" s="23">
        <f>SALESTABLE[[#This Row],[Value]]*18%</f>
        <v>8880.2999999999993</v>
      </c>
      <c r="I374" s="23"/>
    </row>
    <row r="375" spans="1:9" hidden="1" x14ac:dyDescent="0.25">
      <c r="A375" s="9">
        <v>45800</v>
      </c>
      <c r="B375" s="4" t="s">
        <v>97</v>
      </c>
      <c r="C375" s="5" t="s">
        <v>8</v>
      </c>
      <c r="D375" s="18">
        <v>5</v>
      </c>
      <c r="E375" s="22">
        <v>160</v>
      </c>
      <c r="F375" s="6">
        <v>800</v>
      </c>
      <c r="G375" s="6">
        <v>944</v>
      </c>
      <c r="H375" s="23">
        <f>SALESTABLE[[#This Row],[Value]]*18%</f>
        <v>144</v>
      </c>
      <c r="I375" s="23"/>
    </row>
    <row r="376" spans="1:9" hidden="1" x14ac:dyDescent="0.25">
      <c r="A376" s="9">
        <v>45800</v>
      </c>
      <c r="B376" s="4" t="s">
        <v>94</v>
      </c>
      <c r="C376" s="5" t="s">
        <v>8</v>
      </c>
      <c r="D376" s="18">
        <v>50</v>
      </c>
      <c r="E376" s="22">
        <v>93</v>
      </c>
      <c r="F376" s="6">
        <v>4650</v>
      </c>
      <c r="G376" s="6">
        <v>5487</v>
      </c>
      <c r="H376" s="23">
        <f>SALESTABLE[[#This Row],[Value]]*18%</f>
        <v>837</v>
      </c>
      <c r="I376" s="23"/>
    </row>
    <row r="377" spans="1:9" hidden="1" x14ac:dyDescent="0.25">
      <c r="A377" s="9">
        <v>45800</v>
      </c>
      <c r="B377" s="4" t="s">
        <v>62</v>
      </c>
      <c r="C377" s="5" t="s">
        <v>8</v>
      </c>
      <c r="D377" s="18">
        <v>1</v>
      </c>
      <c r="E377" s="22">
        <v>195</v>
      </c>
      <c r="F377" s="6">
        <v>195</v>
      </c>
      <c r="G377" s="6">
        <v>230</v>
      </c>
      <c r="H377" s="23">
        <f>SALESTABLE[[#This Row],[Value]]*18%</f>
        <v>35.1</v>
      </c>
      <c r="I377" s="23"/>
    </row>
    <row r="378" spans="1:9" hidden="1" x14ac:dyDescent="0.25">
      <c r="A378" s="9">
        <v>45800</v>
      </c>
      <c r="B378" s="4" t="s">
        <v>94</v>
      </c>
      <c r="C378" s="5" t="s">
        <v>8</v>
      </c>
      <c r="D378" s="18">
        <v>100</v>
      </c>
      <c r="E378" s="22">
        <v>50</v>
      </c>
      <c r="F378" s="6">
        <v>5000</v>
      </c>
      <c r="G378" s="6">
        <v>5250</v>
      </c>
      <c r="H378" s="23">
        <f>SALESTABLE[[#This Row],[Value]]*18%</f>
        <v>900</v>
      </c>
      <c r="I378" s="23"/>
    </row>
    <row r="379" spans="1:9" hidden="1" x14ac:dyDescent="0.25">
      <c r="A379" s="9">
        <v>45800</v>
      </c>
      <c r="B379" s="4" t="s">
        <v>27</v>
      </c>
      <c r="C379" s="5" t="s">
        <v>8</v>
      </c>
      <c r="D379" s="18">
        <v>5</v>
      </c>
      <c r="E379" s="22">
        <v>120</v>
      </c>
      <c r="F379" s="6">
        <v>600</v>
      </c>
      <c r="G379" s="6">
        <v>708</v>
      </c>
      <c r="H379" s="23">
        <f>SALESTABLE[[#This Row],[Value]]*18%</f>
        <v>108</v>
      </c>
      <c r="I379" s="23"/>
    </row>
    <row r="380" spans="1:9" hidden="1" x14ac:dyDescent="0.25">
      <c r="A380" s="9">
        <v>45801</v>
      </c>
      <c r="B380" s="4" t="s">
        <v>94</v>
      </c>
      <c r="C380" s="5" t="s">
        <v>8</v>
      </c>
      <c r="D380" s="18">
        <v>60</v>
      </c>
      <c r="E380" s="22">
        <v>112.83</v>
      </c>
      <c r="F380" s="6">
        <v>6770</v>
      </c>
      <c r="G380" s="6">
        <v>7989</v>
      </c>
      <c r="H380" s="23">
        <f>SALESTABLE[[#This Row],[Value]]*18%</f>
        <v>1218.5999999999999</v>
      </c>
      <c r="I380" s="23"/>
    </row>
    <row r="381" spans="1:9" hidden="1" x14ac:dyDescent="0.25">
      <c r="A381" s="9">
        <v>45801</v>
      </c>
      <c r="B381" s="4" t="s">
        <v>102</v>
      </c>
      <c r="C381" s="5" t="s">
        <v>8</v>
      </c>
      <c r="D381" s="18">
        <v>30</v>
      </c>
      <c r="E381" s="22">
        <v>80</v>
      </c>
      <c r="F381" s="6">
        <v>2400</v>
      </c>
      <c r="G381" s="6">
        <v>2832</v>
      </c>
      <c r="H381" s="23">
        <f>SALESTABLE[[#This Row],[Value]]*18%</f>
        <v>432</v>
      </c>
      <c r="I381" s="23"/>
    </row>
    <row r="382" spans="1:9" hidden="1" x14ac:dyDescent="0.25">
      <c r="A382" s="9">
        <v>45801</v>
      </c>
      <c r="B382" s="4" t="s">
        <v>54</v>
      </c>
      <c r="C382" s="5" t="s">
        <v>8</v>
      </c>
      <c r="D382" s="18">
        <v>60</v>
      </c>
      <c r="E382" s="22">
        <v>175</v>
      </c>
      <c r="F382" s="6">
        <v>10500</v>
      </c>
      <c r="G382" s="6">
        <v>12390</v>
      </c>
      <c r="H382" s="23">
        <f>SALESTABLE[[#This Row],[Value]]*18%</f>
        <v>1890</v>
      </c>
      <c r="I382" s="23"/>
    </row>
    <row r="383" spans="1:9" hidden="1" x14ac:dyDescent="0.25">
      <c r="A383" s="9">
        <v>45801</v>
      </c>
      <c r="B383" s="4" t="s">
        <v>95</v>
      </c>
      <c r="C383" s="5" t="s">
        <v>8</v>
      </c>
      <c r="D383" s="18">
        <v>150</v>
      </c>
      <c r="E383" s="22">
        <v>163</v>
      </c>
      <c r="F383" s="6">
        <v>24450</v>
      </c>
      <c r="G383" s="6">
        <v>28851</v>
      </c>
      <c r="H383" s="23">
        <f>SALESTABLE[[#This Row],[Value]]*18%</f>
        <v>4401</v>
      </c>
      <c r="I383" s="23"/>
    </row>
    <row r="384" spans="1:9" hidden="1" x14ac:dyDescent="0.25">
      <c r="A384" s="9">
        <v>45801</v>
      </c>
      <c r="B384" s="4" t="s">
        <v>67</v>
      </c>
      <c r="C384" s="5" t="s">
        <v>8</v>
      </c>
      <c r="D384" s="18">
        <v>78</v>
      </c>
      <c r="E384" s="22">
        <v>125</v>
      </c>
      <c r="F384" s="6">
        <v>9750</v>
      </c>
      <c r="G384" s="6">
        <v>11505</v>
      </c>
      <c r="H384" s="23">
        <f>SALESTABLE[[#This Row],[Value]]*18%</f>
        <v>1755</v>
      </c>
      <c r="I384" s="23"/>
    </row>
    <row r="385" spans="1:9" hidden="1" x14ac:dyDescent="0.25">
      <c r="A385" s="9">
        <v>45801</v>
      </c>
      <c r="B385" s="4" t="s">
        <v>32</v>
      </c>
      <c r="C385" s="5" t="s">
        <v>8</v>
      </c>
      <c r="D385" s="18">
        <v>210</v>
      </c>
      <c r="E385" s="22">
        <v>78</v>
      </c>
      <c r="F385" s="6">
        <v>16380</v>
      </c>
      <c r="G385" s="6">
        <v>19328</v>
      </c>
      <c r="H385" s="23">
        <f>SALESTABLE[[#This Row],[Value]]*18%</f>
        <v>2948.4</v>
      </c>
      <c r="I385" s="23"/>
    </row>
    <row r="386" spans="1:9" hidden="1" x14ac:dyDescent="0.25">
      <c r="A386" s="9">
        <v>45801</v>
      </c>
      <c r="B386" s="4" t="s">
        <v>78</v>
      </c>
      <c r="C386" s="5" t="s">
        <v>8</v>
      </c>
      <c r="D386" s="18">
        <v>10</v>
      </c>
      <c r="E386" s="22">
        <v>235</v>
      </c>
      <c r="F386" s="6">
        <v>2350</v>
      </c>
      <c r="G386" s="6">
        <v>2773</v>
      </c>
      <c r="H386" s="23">
        <f>SALESTABLE[[#This Row],[Value]]*18%</f>
        <v>423</v>
      </c>
      <c r="I386" s="23"/>
    </row>
    <row r="387" spans="1:9" hidden="1" x14ac:dyDescent="0.25">
      <c r="A387" s="9">
        <v>45801</v>
      </c>
      <c r="B387" s="4" t="s">
        <v>56</v>
      </c>
      <c r="C387" s="5" t="s">
        <v>8</v>
      </c>
      <c r="D387" s="18">
        <v>26</v>
      </c>
      <c r="E387" s="22">
        <v>130</v>
      </c>
      <c r="F387" s="6">
        <v>3380</v>
      </c>
      <c r="G387" s="6">
        <v>3988</v>
      </c>
      <c r="H387" s="23">
        <f>SALESTABLE[[#This Row],[Value]]*18%</f>
        <v>608.4</v>
      </c>
      <c r="I387" s="23"/>
    </row>
    <row r="388" spans="1:9" x14ac:dyDescent="0.25">
      <c r="A388" s="9">
        <v>45802</v>
      </c>
      <c r="B388" t="s">
        <v>98</v>
      </c>
      <c r="C388" s="5" t="s">
        <v>8</v>
      </c>
      <c r="D388" s="18">
        <v>20</v>
      </c>
      <c r="E388" s="22">
        <v>170</v>
      </c>
      <c r="F388" s="6">
        <v>3400</v>
      </c>
      <c r="G388" s="6">
        <v>4012</v>
      </c>
      <c r="H388" s="23">
        <f>SALESTABLE[[#This Row],[Value]]*18%</f>
        <v>612</v>
      </c>
      <c r="I388" s="23"/>
    </row>
    <row r="389" spans="1:9" hidden="1" x14ac:dyDescent="0.25">
      <c r="A389" s="9">
        <v>45802</v>
      </c>
      <c r="B389" s="4" t="s">
        <v>96</v>
      </c>
      <c r="C389" s="5" t="s">
        <v>8</v>
      </c>
      <c r="D389" s="18">
        <v>87</v>
      </c>
      <c r="E389" s="22">
        <v>94.71</v>
      </c>
      <c r="F389" s="6">
        <v>8240</v>
      </c>
      <c r="G389" s="6">
        <v>9723</v>
      </c>
      <c r="H389" s="23">
        <f>SALESTABLE[[#This Row],[Value]]*18%</f>
        <v>1483.2</v>
      </c>
      <c r="I389" s="23"/>
    </row>
    <row r="390" spans="1:9" x14ac:dyDescent="0.25">
      <c r="A390" s="9">
        <v>45802</v>
      </c>
      <c r="B390" t="s">
        <v>98</v>
      </c>
      <c r="C390" s="5" t="s">
        <v>8</v>
      </c>
      <c r="D390" s="18">
        <v>5</v>
      </c>
      <c r="E390" s="22">
        <v>170</v>
      </c>
      <c r="F390" s="6">
        <v>850</v>
      </c>
      <c r="G390" s="6">
        <v>1003</v>
      </c>
      <c r="H390" s="23">
        <f>SALESTABLE[[#This Row],[Value]]*18%</f>
        <v>153</v>
      </c>
      <c r="I390" s="23"/>
    </row>
    <row r="391" spans="1:9" hidden="1" x14ac:dyDescent="0.25">
      <c r="A391" s="9">
        <v>45802</v>
      </c>
      <c r="B391" s="4" t="s">
        <v>94</v>
      </c>
      <c r="C391" s="5" t="s">
        <v>8</v>
      </c>
      <c r="D391" s="18">
        <v>420</v>
      </c>
      <c r="E391" s="22">
        <v>115</v>
      </c>
      <c r="F391" s="6">
        <v>48300</v>
      </c>
      <c r="G391" s="6">
        <v>56994</v>
      </c>
      <c r="H391" s="23">
        <f>SALESTABLE[[#This Row],[Value]]*18%</f>
        <v>8694</v>
      </c>
      <c r="I391" s="23"/>
    </row>
    <row r="392" spans="1:9" hidden="1" x14ac:dyDescent="0.25">
      <c r="A392" s="9">
        <v>45802</v>
      </c>
      <c r="B392" s="4" t="s">
        <v>91</v>
      </c>
      <c r="C392" s="5" t="s">
        <v>8</v>
      </c>
      <c r="D392" s="18">
        <v>26</v>
      </c>
      <c r="E392" s="22">
        <v>112</v>
      </c>
      <c r="F392" s="6">
        <v>2912</v>
      </c>
      <c r="G392" s="6">
        <v>3436</v>
      </c>
      <c r="H392" s="23">
        <f>SALESTABLE[[#This Row],[Value]]*18%</f>
        <v>524.16</v>
      </c>
      <c r="I392" s="23"/>
    </row>
    <row r="393" spans="1:9" hidden="1" x14ac:dyDescent="0.25">
      <c r="A393" s="9">
        <v>45803</v>
      </c>
      <c r="B393" s="4" t="s">
        <v>96</v>
      </c>
      <c r="C393" s="5" t="s">
        <v>8</v>
      </c>
      <c r="D393" s="18">
        <v>420</v>
      </c>
      <c r="E393" s="22">
        <v>58.5</v>
      </c>
      <c r="F393" s="6">
        <v>24570</v>
      </c>
      <c r="G393" s="6">
        <v>28993</v>
      </c>
      <c r="H393" s="23">
        <f>SALESTABLE[[#This Row],[Value]]*18%</f>
        <v>4422.5999999999995</v>
      </c>
      <c r="I393" s="23"/>
    </row>
    <row r="394" spans="1:9" hidden="1" x14ac:dyDescent="0.25">
      <c r="A394" s="9">
        <v>45803</v>
      </c>
      <c r="B394" s="4" t="s">
        <v>23</v>
      </c>
      <c r="C394" s="5" t="s">
        <v>8</v>
      </c>
      <c r="D394" s="18">
        <v>5</v>
      </c>
      <c r="E394" s="22">
        <v>90</v>
      </c>
      <c r="F394" s="6">
        <v>450</v>
      </c>
      <c r="G394" s="6">
        <v>531</v>
      </c>
      <c r="H394" s="23">
        <f>SALESTABLE[[#This Row],[Value]]*18%</f>
        <v>81</v>
      </c>
      <c r="I394" s="23"/>
    </row>
    <row r="395" spans="1:9" x14ac:dyDescent="0.25">
      <c r="A395" s="9">
        <v>45803</v>
      </c>
      <c r="B395" t="s">
        <v>98</v>
      </c>
      <c r="C395" s="5" t="s">
        <v>8</v>
      </c>
      <c r="D395" s="18">
        <v>5</v>
      </c>
      <c r="E395" s="22">
        <v>160</v>
      </c>
      <c r="F395" s="6">
        <v>800</v>
      </c>
      <c r="G395" s="6">
        <v>944</v>
      </c>
      <c r="H395" s="23">
        <f>SALESTABLE[[#This Row],[Value]]*18%</f>
        <v>144</v>
      </c>
      <c r="I395" s="23"/>
    </row>
    <row r="396" spans="1:9" hidden="1" x14ac:dyDescent="0.25">
      <c r="A396" s="9">
        <v>45803</v>
      </c>
      <c r="B396" s="4" t="s">
        <v>56</v>
      </c>
      <c r="C396" s="5" t="s">
        <v>8</v>
      </c>
      <c r="D396" s="18">
        <v>35</v>
      </c>
      <c r="E396" s="22">
        <v>135</v>
      </c>
      <c r="F396" s="6">
        <v>4725</v>
      </c>
      <c r="G396" s="6">
        <v>5576</v>
      </c>
      <c r="H396" s="23">
        <f>SALESTABLE[[#This Row],[Value]]*18%</f>
        <v>850.5</v>
      </c>
      <c r="I396" s="23"/>
    </row>
    <row r="397" spans="1:9" x14ac:dyDescent="0.25">
      <c r="A397" s="9">
        <v>45803</v>
      </c>
      <c r="B397" t="s">
        <v>98</v>
      </c>
      <c r="C397" s="5" t="s">
        <v>8</v>
      </c>
      <c r="D397" s="18">
        <v>26</v>
      </c>
      <c r="E397" s="22">
        <v>107</v>
      </c>
      <c r="F397" s="6">
        <v>2782</v>
      </c>
      <c r="G397" s="6">
        <v>3283</v>
      </c>
      <c r="H397" s="23">
        <f>SALESTABLE[[#This Row],[Value]]*18%</f>
        <v>500.76</v>
      </c>
      <c r="I397" s="23"/>
    </row>
    <row r="398" spans="1:9" x14ac:dyDescent="0.25">
      <c r="A398" s="9">
        <v>45803</v>
      </c>
      <c r="B398" t="s">
        <v>98</v>
      </c>
      <c r="C398" s="5" t="s">
        <v>8</v>
      </c>
      <c r="D398" s="18">
        <v>10</v>
      </c>
      <c r="E398" s="22">
        <v>110</v>
      </c>
      <c r="F398" s="6">
        <v>1100</v>
      </c>
      <c r="G398" s="6">
        <v>1298</v>
      </c>
      <c r="H398" s="23">
        <f>SALESTABLE[[#This Row],[Value]]*18%</f>
        <v>198</v>
      </c>
      <c r="I398" s="23"/>
    </row>
    <row r="399" spans="1:9" hidden="1" x14ac:dyDescent="0.25">
      <c r="A399" s="9">
        <v>45803</v>
      </c>
      <c r="B399" s="4" t="s">
        <v>102</v>
      </c>
      <c r="C399" s="5" t="s">
        <v>8</v>
      </c>
      <c r="D399" s="18">
        <v>2</v>
      </c>
      <c r="E399" s="22">
        <v>482.25</v>
      </c>
      <c r="F399" s="6">
        <v>964.5</v>
      </c>
      <c r="G399" s="6">
        <v>1138</v>
      </c>
      <c r="H399" s="23">
        <f>SALESTABLE[[#This Row],[Value]]*18%</f>
        <v>173.60999999999999</v>
      </c>
      <c r="I399" s="23"/>
    </row>
    <row r="400" spans="1:9" hidden="1" x14ac:dyDescent="0.25">
      <c r="A400" s="9">
        <v>45803</v>
      </c>
      <c r="B400" s="4" t="s">
        <v>72</v>
      </c>
      <c r="C400" s="5" t="s">
        <v>8</v>
      </c>
      <c r="D400" s="18">
        <v>230</v>
      </c>
      <c r="E400" s="22">
        <v>149.26</v>
      </c>
      <c r="F400" s="6">
        <v>34330</v>
      </c>
      <c r="G400" s="6">
        <v>40509</v>
      </c>
      <c r="H400" s="23">
        <f>SALESTABLE[[#This Row],[Value]]*18%</f>
        <v>6179.4</v>
      </c>
      <c r="I400" s="23"/>
    </row>
    <row r="401" spans="1:9" hidden="1" x14ac:dyDescent="0.25">
      <c r="A401" s="9">
        <v>45804</v>
      </c>
      <c r="B401" s="4" t="s">
        <v>57</v>
      </c>
      <c r="C401" s="5" t="s">
        <v>8</v>
      </c>
      <c r="D401" s="18">
        <v>35</v>
      </c>
      <c r="E401" s="22">
        <v>85</v>
      </c>
      <c r="F401" s="6">
        <v>2975</v>
      </c>
      <c r="G401" s="6">
        <v>3511</v>
      </c>
      <c r="H401" s="23">
        <f>SALESTABLE[[#This Row],[Value]]*18%</f>
        <v>535.5</v>
      </c>
      <c r="I401" s="23"/>
    </row>
    <row r="402" spans="1:9" hidden="1" x14ac:dyDescent="0.25">
      <c r="A402" s="9">
        <v>45804</v>
      </c>
      <c r="B402" s="4" t="s">
        <v>94</v>
      </c>
      <c r="C402" s="5" t="s">
        <v>8</v>
      </c>
      <c r="D402" s="18">
        <v>630</v>
      </c>
      <c r="E402" s="22">
        <v>75</v>
      </c>
      <c r="F402" s="6">
        <v>47250</v>
      </c>
      <c r="G402" s="6">
        <v>55755</v>
      </c>
      <c r="H402" s="23">
        <f>SALESTABLE[[#This Row],[Value]]*18%</f>
        <v>8505</v>
      </c>
      <c r="I402" s="23"/>
    </row>
    <row r="403" spans="1:9" x14ac:dyDescent="0.25">
      <c r="A403" s="9">
        <v>45804</v>
      </c>
      <c r="B403" t="s">
        <v>98</v>
      </c>
      <c r="C403" s="5" t="s">
        <v>8</v>
      </c>
      <c r="D403" s="18">
        <v>420</v>
      </c>
      <c r="E403" s="22">
        <v>130</v>
      </c>
      <c r="F403" s="6">
        <v>54600</v>
      </c>
      <c r="G403" s="6">
        <v>64428</v>
      </c>
      <c r="H403" s="23">
        <f>SALESTABLE[[#This Row],[Value]]*18%</f>
        <v>9828</v>
      </c>
      <c r="I403" s="23"/>
    </row>
    <row r="404" spans="1:9" hidden="1" x14ac:dyDescent="0.25">
      <c r="A404" s="9">
        <v>45804</v>
      </c>
      <c r="B404" s="4" t="s">
        <v>94</v>
      </c>
      <c r="C404" s="5" t="s">
        <v>8</v>
      </c>
      <c r="D404" s="18">
        <v>26</v>
      </c>
      <c r="E404" s="22">
        <v>105</v>
      </c>
      <c r="F404" s="6">
        <v>2730</v>
      </c>
      <c r="G404" s="6">
        <v>3221</v>
      </c>
      <c r="H404" s="23">
        <f>SALESTABLE[[#This Row],[Value]]*18%</f>
        <v>491.4</v>
      </c>
      <c r="I404" s="23"/>
    </row>
    <row r="405" spans="1:9" hidden="1" x14ac:dyDescent="0.25">
      <c r="A405" s="9">
        <v>45804</v>
      </c>
      <c r="B405" s="4" t="s">
        <v>94</v>
      </c>
      <c r="C405" s="5" t="s">
        <v>8</v>
      </c>
      <c r="D405" s="18">
        <v>25</v>
      </c>
      <c r="E405" s="22">
        <v>98</v>
      </c>
      <c r="F405" s="6">
        <v>2450</v>
      </c>
      <c r="G405" s="6">
        <v>2891</v>
      </c>
      <c r="H405" s="23">
        <f>SALESTABLE[[#This Row],[Value]]*18%</f>
        <v>441</v>
      </c>
      <c r="I405" s="23"/>
    </row>
    <row r="406" spans="1:9" x14ac:dyDescent="0.25">
      <c r="A406" s="9">
        <v>45804</v>
      </c>
      <c r="B406" t="s">
        <v>98</v>
      </c>
      <c r="C406" s="5" t="s">
        <v>8</v>
      </c>
      <c r="D406" s="18">
        <v>40</v>
      </c>
      <c r="E406" s="22">
        <v>100</v>
      </c>
      <c r="F406" s="6">
        <v>4000</v>
      </c>
      <c r="G406" s="6">
        <v>4720</v>
      </c>
      <c r="H406" s="23">
        <f>SALESTABLE[[#This Row],[Value]]*18%</f>
        <v>720</v>
      </c>
      <c r="I406" s="23"/>
    </row>
    <row r="407" spans="1:9" hidden="1" x14ac:dyDescent="0.25">
      <c r="A407" s="9">
        <v>45805</v>
      </c>
      <c r="B407" s="4" t="s">
        <v>93</v>
      </c>
      <c r="C407" s="5" t="s">
        <v>8</v>
      </c>
      <c r="D407" s="18">
        <v>10</v>
      </c>
      <c r="E407" s="22">
        <v>165</v>
      </c>
      <c r="F407" s="6">
        <v>1650</v>
      </c>
      <c r="G407" s="6">
        <v>1947</v>
      </c>
      <c r="H407" s="23">
        <f>SALESTABLE[[#This Row],[Value]]*18%</f>
        <v>297</v>
      </c>
      <c r="I407" s="23"/>
    </row>
    <row r="408" spans="1:9" hidden="1" x14ac:dyDescent="0.25">
      <c r="A408" s="9">
        <v>45805</v>
      </c>
      <c r="B408" s="4" t="s">
        <v>67</v>
      </c>
      <c r="C408" s="5" t="s">
        <v>8</v>
      </c>
      <c r="D408" s="18">
        <v>78</v>
      </c>
      <c r="E408" s="22">
        <v>125</v>
      </c>
      <c r="F408" s="6">
        <v>9750</v>
      </c>
      <c r="G408" s="6">
        <v>11505</v>
      </c>
      <c r="H408" s="23">
        <f>SALESTABLE[[#This Row],[Value]]*18%</f>
        <v>1755</v>
      </c>
      <c r="I408" s="23"/>
    </row>
    <row r="409" spans="1:9" hidden="1" x14ac:dyDescent="0.25">
      <c r="A409" s="9">
        <v>45805</v>
      </c>
      <c r="B409" s="4" t="s">
        <v>95</v>
      </c>
      <c r="C409" s="5" t="s">
        <v>8</v>
      </c>
      <c r="D409" s="18">
        <v>10</v>
      </c>
      <c r="E409" s="22">
        <v>130</v>
      </c>
      <c r="F409" s="6">
        <v>1300</v>
      </c>
      <c r="G409" s="6">
        <v>1534</v>
      </c>
      <c r="H409" s="23">
        <f>SALESTABLE[[#This Row],[Value]]*18%</f>
        <v>234</v>
      </c>
      <c r="I409" s="23"/>
    </row>
    <row r="410" spans="1:9" hidden="1" x14ac:dyDescent="0.25">
      <c r="A410" s="9">
        <v>45805</v>
      </c>
      <c r="B410" s="4" t="s">
        <v>33</v>
      </c>
      <c r="C410" s="5" t="s">
        <v>8</v>
      </c>
      <c r="D410" s="18">
        <v>78</v>
      </c>
      <c r="E410" s="22">
        <v>112.67</v>
      </c>
      <c r="F410" s="6">
        <v>8788</v>
      </c>
      <c r="G410" s="6">
        <v>10370</v>
      </c>
      <c r="H410" s="23">
        <f>SALESTABLE[[#This Row],[Value]]*18%</f>
        <v>1581.84</v>
      </c>
      <c r="I410" s="23"/>
    </row>
    <row r="411" spans="1:9" hidden="1" x14ac:dyDescent="0.25">
      <c r="A411" s="9">
        <v>45805</v>
      </c>
      <c r="B411" s="4" t="s">
        <v>50</v>
      </c>
      <c r="C411" s="5" t="s">
        <v>8</v>
      </c>
      <c r="D411" s="18">
        <v>36</v>
      </c>
      <c r="E411" s="22">
        <v>116.39</v>
      </c>
      <c r="F411" s="6">
        <v>4190</v>
      </c>
      <c r="G411" s="6">
        <v>4944</v>
      </c>
      <c r="H411" s="23">
        <f>SALESTABLE[[#This Row],[Value]]*18%</f>
        <v>754.19999999999993</v>
      </c>
      <c r="I411" s="23"/>
    </row>
    <row r="412" spans="1:9" x14ac:dyDescent="0.25">
      <c r="A412" s="9">
        <v>45805</v>
      </c>
      <c r="B412" t="s">
        <v>98</v>
      </c>
      <c r="C412" s="5" t="s">
        <v>8</v>
      </c>
      <c r="D412" s="18">
        <v>210</v>
      </c>
      <c r="E412" s="22">
        <v>100</v>
      </c>
      <c r="F412" s="6">
        <v>21000</v>
      </c>
      <c r="G412" s="6">
        <v>24780</v>
      </c>
      <c r="H412" s="23">
        <f>SALESTABLE[[#This Row],[Value]]*18%</f>
        <v>3780</v>
      </c>
      <c r="I412" s="23"/>
    </row>
    <row r="413" spans="1:9" hidden="1" x14ac:dyDescent="0.25">
      <c r="A413" s="9">
        <v>45805</v>
      </c>
      <c r="B413" s="4" t="s">
        <v>96</v>
      </c>
      <c r="C413" s="5" t="s">
        <v>8</v>
      </c>
      <c r="D413" s="18">
        <v>280</v>
      </c>
      <c r="E413" s="22">
        <v>86.25</v>
      </c>
      <c r="F413" s="6">
        <v>24150</v>
      </c>
      <c r="G413" s="6">
        <v>28497</v>
      </c>
      <c r="H413" s="23">
        <f>SALESTABLE[[#This Row],[Value]]*18%</f>
        <v>4347</v>
      </c>
      <c r="I413" s="23"/>
    </row>
    <row r="414" spans="1:9" hidden="1" x14ac:dyDescent="0.25">
      <c r="A414" s="9">
        <v>45807</v>
      </c>
      <c r="B414" s="4" t="s">
        <v>103</v>
      </c>
      <c r="C414" s="5" t="s">
        <v>8</v>
      </c>
      <c r="D414" s="18">
        <v>26</v>
      </c>
      <c r="E414" s="22">
        <v>150</v>
      </c>
      <c r="F414" s="6">
        <v>3900</v>
      </c>
      <c r="G414" s="6">
        <v>4602</v>
      </c>
      <c r="H414" s="23">
        <f>SALESTABLE[[#This Row],[Value]]*18%</f>
        <v>702</v>
      </c>
      <c r="I414" s="23"/>
    </row>
    <row r="415" spans="1:9" hidden="1" x14ac:dyDescent="0.25">
      <c r="A415" s="9">
        <v>45807</v>
      </c>
      <c r="B415" s="4" t="s">
        <v>94</v>
      </c>
      <c r="C415" s="5" t="s">
        <v>8</v>
      </c>
      <c r="D415" s="18">
        <v>106</v>
      </c>
      <c r="E415" s="22">
        <v>160.66</v>
      </c>
      <c r="F415" s="6">
        <v>17030</v>
      </c>
      <c r="G415" s="6">
        <v>20095</v>
      </c>
      <c r="H415" s="23">
        <f>SALESTABLE[[#This Row],[Value]]*18%</f>
        <v>3065.4</v>
      </c>
      <c r="I415" s="23"/>
    </row>
    <row r="416" spans="1:9" hidden="1" x14ac:dyDescent="0.25">
      <c r="A416" s="9">
        <v>45807</v>
      </c>
      <c r="B416" s="4" t="s">
        <v>93</v>
      </c>
      <c r="C416" s="5" t="s">
        <v>8</v>
      </c>
      <c r="D416" s="18">
        <v>156</v>
      </c>
      <c r="E416" s="22">
        <v>123.33</v>
      </c>
      <c r="F416" s="6">
        <v>19240</v>
      </c>
      <c r="G416" s="6">
        <v>22703</v>
      </c>
      <c r="H416" s="23">
        <f>SALESTABLE[[#This Row],[Value]]*18%</f>
        <v>3463.2</v>
      </c>
      <c r="I416" s="23"/>
    </row>
    <row r="417" spans="1:9" x14ac:dyDescent="0.25">
      <c r="A417" s="9">
        <v>45807</v>
      </c>
      <c r="B417" t="s">
        <v>98</v>
      </c>
      <c r="C417" s="5" t="s">
        <v>8</v>
      </c>
      <c r="D417" s="18">
        <v>31</v>
      </c>
      <c r="E417" s="22">
        <v>123.39</v>
      </c>
      <c r="F417" s="6">
        <v>3825</v>
      </c>
      <c r="G417" s="6">
        <v>4514</v>
      </c>
      <c r="H417" s="23">
        <f>SALESTABLE[[#This Row],[Value]]*18%</f>
        <v>688.5</v>
      </c>
      <c r="I417" s="23"/>
    </row>
    <row r="418" spans="1:9" hidden="1" x14ac:dyDescent="0.25">
      <c r="A418" s="9">
        <v>45807</v>
      </c>
      <c r="B418" s="4" t="s">
        <v>96</v>
      </c>
      <c r="C418" s="5" t="s">
        <v>8</v>
      </c>
      <c r="D418" s="18">
        <v>26</v>
      </c>
      <c r="E418" s="22">
        <v>120</v>
      </c>
      <c r="F418" s="6">
        <v>3120</v>
      </c>
      <c r="G418" s="6">
        <v>3682</v>
      </c>
      <c r="H418" s="23">
        <f>SALESTABLE[[#This Row],[Value]]*18%</f>
        <v>561.6</v>
      </c>
      <c r="I418" s="23"/>
    </row>
    <row r="419" spans="1:9" hidden="1" x14ac:dyDescent="0.25">
      <c r="A419" s="9">
        <v>45807</v>
      </c>
      <c r="B419" s="4" t="s">
        <v>90</v>
      </c>
      <c r="C419" s="5" t="s">
        <v>8</v>
      </c>
      <c r="D419" s="18">
        <v>5</v>
      </c>
      <c r="E419" s="22">
        <v>120</v>
      </c>
      <c r="F419" s="6">
        <v>600</v>
      </c>
      <c r="G419" s="6">
        <v>708</v>
      </c>
      <c r="H419" s="23">
        <f>SALESTABLE[[#This Row],[Value]]*18%</f>
        <v>108</v>
      </c>
      <c r="I419" s="23"/>
    </row>
    <row r="420" spans="1:9" hidden="1" x14ac:dyDescent="0.25">
      <c r="A420" s="9">
        <v>45807</v>
      </c>
      <c r="B420" s="4" t="s">
        <v>53</v>
      </c>
      <c r="C420" s="5" t="s">
        <v>8</v>
      </c>
      <c r="D420" s="18">
        <v>40</v>
      </c>
      <c r="E420" s="22">
        <v>335</v>
      </c>
      <c r="F420" s="6">
        <v>13400</v>
      </c>
      <c r="G420" s="6">
        <v>15812</v>
      </c>
      <c r="H420" s="23">
        <f>SALESTABLE[[#This Row],[Value]]*18%</f>
        <v>2412</v>
      </c>
      <c r="I420" s="23"/>
    </row>
    <row r="421" spans="1:9" hidden="1" x14ac:dyDescent="0.25">
      <c r="A421" s="9">
        <v>45807</v>
      </c>
      <c r="B421" s="4" t="s">
        <v>63</v>
      </c>
      <c r="C421" s="5" t="s">
        <v>8</v>
      </c>
      <c r="D421" s="18">
        <v>144</v>
      </c>
      <c r="E421" s="22">
        <v>4.8</v>
      </c>
      <c r="F421" s="6">
        <v>691.2</v>
      </c>
      <c r="G421" s="6">
        <v>816</v>
      </c>
      <c r="H421" s="23">
        <f>SALESTABLE[[#This Row],[Value]]*18%</f>
        <v>124.416</v>
      </c>
      <c r="I421" s="23"/>
    </row>
    <row r="422" spans="1:9" hidden="1" x14ac:dyDescent="0.25">
      <c r="A422" s="9">
        <v>45807</v>
      </c>
      <c r="B422" s="4" t="s">
        <v>63</v>
      </c>
      <c r="C422" s="5" t="s">
        <v>8</v>
      </c>
      <c r="D422" s="18">
        <v>288</v>
      </c>
      <c r="E422" s="22">
        <v>4.8</v>
      </c>
      <c r="F422" s="6">
        <v>1382.4</v>
      </c>
      <c r="G422" s="6">
        <v>1631</v>
      </c>
      <c r="H422" s="23">
        <f>SALESTABLE[[#This Row],[Value]]*18%</f>
        <v>248.83199999999999</v>
      </c>
      <c r="I422" s="23"/>
    </row>
    <row r="423" spans="1:9" hidden="1" x14ac:dyDescent="0.25">
      <c r="A423" s="9">
        <v>45807</v>
      </c>
      <c r="B423" s="4" t="s">
        <v>91</v>
      </c>
      <c r="C423" s="5" t="s">
        <v>8</v>
      </c>
      <c r="D423" s="18">
        <v>5</v>
      </c>
      <c r="E423" s="22">
        <v>160</v>
      </c>
      <c r="F423" s="6">
        <v>800</v>
      </c>
      <c r="G423" s="6">
        <v>944</v>
      </c>
      <c r="H423" s="23">
        <f>SALESTABLE[[#This Row],[Value]]*18%</f>
        <v>144</v>
      </c>
      <c r="I423" s="23"/>
    </row>
    <row r="424" spans="1:9" hidden="1" x14ac:dyDescent="0.25">
      <c r="A424" s="9">
        <v>45807</v>
      </c>
      <c r="B424" s="4" t="s">
        <v>34</v>
      </c>
      <c r="C424" s="5" t="s">
        <v>8</v>
      </c>
      <c r="D424" s="18">
        <v>26</v>
      </c>
      <c r="E424" s="22">
        <v>202</v>
      </c>
      <c r="F424" s="6">
        <v>5252</v>
      </c>
      <c r="G424" s="6">
        <v>6197</v>
      </c>
      <c r="H424" s="23">
        <f>SALESTABLE[[#This Row],[Value]]*18%</f>
        <v>945.36</v>
      </c>
      <c r="I424" s="23"/>
    </row>
    <row r="425" spans="1:9" hidden="1" x14ac:dyDescent="0.25">
      <c r="A425" s="9">
        <v>45807</v>
      </c>
      <c r="B425" s="4" t="s">
        <v>96</v>
      </c>
      <c r="C425" s="5" t="s">
        <v>8</v>
      </c>
      <c r="D425" s="18">
        <v>70</v>
      </c>
      <c r="E425" s="22">
        <v>62</v>
      </c>
      <c r="F425" s="6">
        <v>4340</v>
      </c>
      <c r="G425" s="6">
        <v>5121</v>
      </c>
      <c r="H425" s="23">
        <f>SALESTABLE[[#This Row],[Value]]*18%</f>
        <v>781.19999999999993</v>
      </c>
      <c r="I425" s="23"/>
    </row>
    <row r="426" spans="1:9" hidden="1" x14ac:dyDescent="0.25">
      <c r="A426" s="9">
        <v>45807</v>
      </c>
      <c r="B426" s="4" t="s">
        <v>35</v>
      </c>
      <c r="C426" s="5" t="s">
        <v>8</v>
      </c>
      <c r="D426" s="18">
        <v>26</v>
      </c>
      <c r="E426" s="22">
        <v>115</v>
      </c>
      <c r="F426" s="6">
        <v>19690</v>
      </c>
      <c r="G426" s="6">
        <v>23234</v>
      </c>
      <c r="H426" s="23">
        <f>SALESTABLE[[#This Row],[Value]]*18%</f>
        <v>3544.2</v>
      </c>
      <c r="I426" s="23"/>
    </row>
    <row r="427" spans="1:9" hidden="1" x14ac:dyDescent="0.25">
      <c r="A427" s="9">
        <v>45808</v>
      </c>
      <c r="B427" s="4" t="s">
        <v>43</v>
      </c>
      <c r="C427" s="5" t="s">
        <v>8</v>
      </c>
      <c r="D427" s="18">
        <v>78</v>
      </c>
      <c r="E427" s="22">
        <v>116.67</v>
      </c>
      <c r="F427" s="6">
        <v>9100</v>
      </c>
      <c r="G427" s="6">
        <v>10738</v>
      </c>
      <c r="H427" s="23">
        <f>SALESTABLE[[#This Row],[Value]]*18%</f>
        <v>1638</v>
      </c>
      <c r="I427" s="23"/>
    </row>
    <row r="428" spans="1:9" x14ac:dyDescent="0.25">
      <c r="A428" s="9">
        <v>45808</v>
      </c>
      <c r="B428" t="s">
        <v>98</v>
      </c>
      <c r="C428" s="5" t="s">
        <v>8</v>
      </c>
      <c r="D428" s="18">
        <v>26</v>
      </c>
      <c r="E428" s="22">
        <v>150</v>
      </c>
      <c r="F428" s="6">
        <v>3900</v>
      </c>
      <c r="G428" s="6">
        <v>4602</v>
      </c>
      <c r="H428" s="23">
        <f>SALESTABLE[[#This Row],[Value]]*18%</f>
        <v>702</v>
      </c>
      <c r="I428" s="23"/>
    </row>
    <row r="429" spans="1:9" x14ac:dyDescent="0.25">
      <c r="A429" s="9">
        <v>45808</v>
      </c>
      <c r="B429" t="s">
        <v>98</v>
      </c>
      <c r="C429" s="5" t="s">
        <v>8</v>
      </c>
      <c r="D429" s="18">
        <v>208</v>
      </c>
      <c r="E429" s="22">
        <v>115</v>
      </c>
      <c r="F429" s="6">
        <v>23920</v>
      </c>
      <c r="G429" s="6">
        <v>28226</v>
      </c>
      <c r="H429" s="23">
        <f>SALESTABLE[[#This Row],[Value]]*18%</f>
        <v>4305.5999999999995</v>
      </c>
      <c r="I429" s="23"/>
    </row>
    <row r="430" spans="1:9" hidden="1" x14ac:dyDescent="0.25">
      <c r="A430" s="9">
        <v>45808</v>
      </c>
      <c r="B430" s="4" t="s">
        <v>102</v>
      </c>
      <c r="C430" s="5" t="s">
        <v>8</v>
      </c>
      <c r="D430" s="18">
        <v>210</v>
      </c>
      <c r="E430" s="22">
        <v>80</v>
      </c>
      <c r="F430" s="6">
        <v>16800</v>
      </c>
      <c r="G430" s="6">
        <v>19824</v>
      </c>
      <c r="H430" s="23">
        <f>SALESTABLE[[#This Row],[Value]]*18%</f>
        <v>3024</v>
      </c>
      <c r="I430" s="23"/>
    </row>
    <row r="431" spans="1:9" hidden="1" x14ac:dyDescent="0.25">
      <c r="A431" s="9">
        <v>45808</v>
      </c>
      <c r="B431" s="4" t="s">
        <v>94</v>
      </c>
      <c r="C431" s="5" t="s">
        <v>8</v>
      </c>
      <c r="D431" s="18">
        <v>25</v>
      </c>
      <c r="E431" s="22">
        <v>70</v>
      </c>
      <c r="F431" s="6">
        <v>1750</v>
      </c>
      <c r="G431" s="6">
        <v>2065</v>
      </c>
      <c r="H431" s="23">
        <f>SALESTABLE[[#This Row],[Value]]*18%</f>
        <v>315</v>
      </c>
      <c r="I431" s="23"/>
    </row>
    <row r="432" spans="1:9" hidden="1" x14ac:dyDescent="0.25">
      <c r="A432" s="9">
        <v>45808</v>
      </c>
      <c r="B432" s="4" t="s">
        <v>94</v>
      </c>
      <c r="C432" s="5" t="s">
        <v>8</v>
      </c>
      <c r="D432" s="18">
        <v>45</v>
      </c>
      <c r="E432" s="22">
        <v>83</v>
      </c>
      <c r="F432" s="6">
        <v>3735</v>
      </c>
      <c r="G432" s="6">
        <v>4407</v>
      </c>
      <c r="H432" s="23">
        <f>SALESTABLE[[#This Row],[Value]]*18%</f>
        <v>672.3</v>
      </c>
      <c r="I432" s="23"/>
    </row>
    <row r="433" spans="1:9" hidden="1" x14ac:dyDescent="0.25">
      <c r="A433" s="8">
        <v>45809</v>
      </c>
      <c r="B433" s="1" t="s">
        <v>96</v>
      </c>
      <c r="C433" s="2" t="s">
        <v>8</v>
      </c>
      <c r="D433" s="17">
        <v>420</v>
      </c>
      <c r="E433" s="21">
        <v>55</v>
      </c>
      <c r="F433" s="3">
        <v>23100</v>
      </c>
      <c r="G433" s="3">
        <v>27258</v>
      </c>
      <c r="H433" s="23">
        <f>SALESTABLE[[#This Row],[Value]]*18%</f>
        <v>4158</v>
      </c>
      <c r="I433" s="23"/>
    </row>
    <row r="434" spans="1:9" hidden="1" x14ac:dyDescent="0.25">
      <c r="A434" s="9">
        <v>45809</v>
      </c>
      <c r="B434" s="4" t="s">
        <v>95</v>
      </c>
      <c r="C434" s="5" t="s">
        <v>8</v>
      </c>
      <c r="D434" s="18">
        <v>20</v>
      </c>
      <c r="E434" s="22">
        <v>145</v>
      </c>
      <c r="F434" s="6">
        <v>2900</v>
      </c>
      <c r="G434" s="6">
        <v>3422</v>
      </c>
      <c r="H434" s="23">
        <f>SALESTABLE[[#This Row],[Value]]*18%</f>
        <v>522</v>
      </c>
      <c r="I434" s="23"/>
    </row>
    <row r="435" spans="1:9" hidden="1" x14ac:dyDescent="0.25">
      <c r="A435" s="9">
        <v>45809</v>
      </c>
      <c r="B435" s="4" t="s">
        <v>51</v>
      </c>
      <c r="C435" s="5" t="s">
        <v>8</v>
      </c>
      <c r="D435" s="18">
        <v>83</v>
      </c>
      <c r="E435" s="22">
        <v>117.11</v>
      </c>
      <c r="F435" s="6">
        <v>9720</v>
      </c>
      <c r="G435" s="6">
        <v>11470</v>
      </c>
      <c r="H435" s="23">
        <f>SALESTABLE[[#This Row],[Value]]*18%</f>
        <v>1749.6</v>
      </c>
      <c r="I435" s="23"/>
    </row>
    <row r="436" spans="1:9" hidden="1" x14ac:dyDescent="0.25">
      <c r="A436" s="9">
        <v>45809</v>
      </c>
      <c r="B436" s="4" t="s">
        <v>93</v>
      </c>
      <c r="C436" s="5" t="s">
        <v>8</v>
      </c>
      <c r="D436" s="18">
        <v>10</v>
      </c>
      <c r="E436" s="22">
        <v>60</v>
      </c>
      <c r="F436" s="6">
        <v>600</v>
      </c>
      <c r="G436" s="6">
        <v>630</v>
      </c>
      <c r="H436" s="23">
        <f>SALESTABLE[[#This Row],[Value]]*18%</f>
        <v>108</v>
      </c>
      <c r="I436" s="23"/>
    </row>
    <row r="437" spans="1:9" hidden="1" x14ac:dyDescent="0.25">
      <c r="A437" s="9">
        <v>45809</v>
      </c>
      <c r="B437" s="4" t="s">
        <v>95</v>
      </c>
      <c r="C437" s="5" t="s">
        <v>8</v>
      </c>
      <c r="D437" s="18">
        <v>78</v>
      </c>
      <c r="E437" s="22">
        <v>97.67</v>
      </c>
      <c r="F437" s="6">
        <v>7618</v>
      </c>
      <c r="G437" s="6">
        <v>8989</v>
      </c>
      <c r="H437" s="23">
        <f>SALESTABLE[[#This Row],[Value]]*18%</f>
        <v>1371.24</v>
      </c>
      <c r="I437" s="23"/>
    </row>
    <row r="438" spans="1:9" x14ac:dyDescent="0.25">
      <c r="A438" s="9">
        <v>45809</v>
      </c>
      <c r="B438" t="s">
        <v>98</v>
      </c>
      <c r="C438" s="5" t="s">
        <v>8</v>
      </c>
      <c r="D438" s="18">
        <v>5</v>
      </c>
      <c r="E438" s="22">
        <v>110</v>
      </c>
      <c r="F438" s="6">
        <v>550</v>
      </c>
      <c r="G438" s="6">
        <v>649</v>
      </c>
      <c r="H438" s="23">
        <f>SALESTABLE[[#This Row],[Value]]*18%</f>
        <v>99</v>
      </c>
      <c r="I438" s="23"/>
    </row>
    <row r="439" spans="1:9" hidden="1" x14ac:dyDescent="0.25">
      <c r="A439" s="9">
        <v>45809</v>
      </c>
      <c r="B439" s="4" t="s">
        <v>53</v>
      </c>
      <c r="C439" s="5" t="s">
        <v>8</v>
      </c>
      <c r="D439" s="18">
        <v>60</v>
      </c>
      <c r="E439" s="22">
        <v>335</v>
      </c>
      <c r="F439" s="6">
        <v>20100</v>
      </c>
      <c r="G439" s="6">
        <v>23718</v>
      </c>
      <c r="H439" s="23">
        <f>SALESTABLE[[#This Row],[Value]]*18%</f>
        <v>3618</v>
      </c>
      <c r="I439" s="23"/>
    </row>
    <row r="440" spans="1:9" hidden="1" x14ac:dyDescent="0.25">
      <c r="A440" s="9">
        <v>45809</v>
      </c>
      <c r="B440" s="4" t="s">
        <v>36</v>
      </c>
      <c r="C440" s="5" t="s">
        <v>8</v>
      </c>
      <c r="D440" s="18">
        <v>19</v>
      </c>
      <c r="E440" s="22">
        <v>154.21</v>
      </c>
      <c r="F440" s="6">
        <v>2930</v>
      </c>
      <c r="G440" s="6">
        <v>3457</v>
      </c>
      <c r="H440" s="23">
        <f>SALESTABLE[[#This Row],[Value]]*18%</f>
        <v>527.4</v>
      </c>
      <c r="I440" s="23"/>
    </row>
    <row r="441" spans="1:9" hidden="1" x14ac:dyDescent="0.25">
      <c r="A441" s="9">
        <v>45810</v>
      </c>
      <c r="B441" s="4" t="s">
        <v>82</v>
      </c>
      <c r="C441" s="5" t="s">
        <v>8</v>
      </c>
      <c r="D441" s="18">
        <v>550</v>
      </c>
      <c r="E441" s="22">
        <v>94.6</v>
      </c>
      <c r="F441" s="6">
        <v>52030</v>
      </c>
      <c r="G441" s="6">
        <v>61395</v>
      </c>
      <c r="H441" s="23">
        <f>SALESTABLE[[#This Row],[Value]]*18%</f>
        <v>9365.4</v>
      </c>
      <c r="I441" s="23"/>
    </row>
    <row r="442" spans="1:9" hidden="1" x14ac:dyDescent="0.25">
      <c r="A442" s="9">
        <v>45810</v>
      </c>
      <c r="B442" s="4" t="s">
        <v>42</v>
      </c>
      <c r="C442" s="5" t="s">
        <v>8</v>
      </c>
      <c r="D442" s="18">
        <v>472</v>
      </c>
      <c r="E442" s="22">
        <v>109.96</v>
      </c>
      <c r="F442" s="6">
        <v>51900</v>
      </c>
      <c r="G442" s="6">
        <v>61242</v>
      </c>
      <c r="H442" s="23">
        <f>SALESTABLE[[#This Row],[Value]]*18%</f>
        <v>9342</v>
      </c>
      <c r="I442" s="23"/>
    </row>
    <row r="443" spans="1:9" x14ac:dyDescent="0.25">
      <c r="A443" s="9">
        <v>45810</v>
      </c>
      <c r="B443" t="s">
        <v>98</v>
      </c>
      <c r="C443" s="5" t="s">
        <v>8</v>
      </c>
      <c r="D443" s="18">
        <v>26</v>
      </c>
      <c r="E443" s="22">
        <v>136</v>
      </c>
      <c r="F443" s="6">
        <v>3536</v>
      </c>
      <c r="G443" s="6">
        <v>4172</v>
      </c>
      <c r="H443" s="23">
        <f>SALESTABLE[[#This Row],[Value]]*18%</f>
        <v>636.48</v>
      </c>
      <c r="I443" s="23"/>
    </row>
    <row r="444" spans="1:9" x14ac:dyDescent="0.25">
      <c r="A444" s="9">
        <v>45810</v>
      </c>
      <c r="B444" t="s">
        <v>98</v>
      </c>
      <c r="C444" s="5" t="s">
        <v>8</v>
      </c>
      <c r="D444" s="18">
        <v>210</v>
      </c>
      <c r="E444" s="22">
        <v>65</v>
      </c>
      <c r="F444" s="6">
        <v>13650</v>
      </c>
      <c r="G444" s="6">
        <v>16107</v>
      </c>
      <c r="H444" s="23">
        <f>SALESTABLE[[#This Row],[Value]]*18%</f>
        <v>2457</v>
      </c>
      <c r="I444" s="23"/>
    </row>
    <row r="445" spans="1:9" hidden="1" x14ac:dyDescent="0.25">
      <c r="A445" s="9">
        <v>45810</v>
      </c>
      <c r="B445" s="4" t="s">
        <v>96</v>
      </c>
      <c r="C445" s="5" t="s">
        <v>8</v>
      </c>
      <c r="D445" s="18">
        <v>156</v>
      </c>
      <c r="E445" s="22">
        <v>85</v>
      </c>
      <c r="F445" s="6">
        <v>13260</v>
      </c>
      <c r="G445" s="6">
        <v>15647</v>
      </c>
      <c r="H445" s="23">
        <f>SALESTABLE[[#This Row],[Value]]*18%</f>
        <v>2386.7999999999997</v>
      </c>
      <c r="I445" s="23"/>
    </row>
    <row r="446" spans="1:9" hidden="1" x14ac:dyDescent="0.25">
      <c r="A446" s="9">
        <v>45810</v>
      </c>
      <c r="B446" s="4" t="s">
        <v>95</v>
      </c>
      <c r="C446" s="5" t="s">
        <v>8</v>
      </c>
      <c r="D446" s="18">
        <v>220</v>
      </c>
      <c r="E446" s="22">
        <v>55</v>
      </c>
      <c r="F446" s="6">
        <v>12100</v>
      </c>
      <c r="G446" s="6">
        <v>14278</v>
      </c>
      <c r="H446" s="23">
        <f>SALESTABLE[[#This Row],[Value]]*18%</f>
        <v>2178</v>
      </c>
      <c r="I446" s="23"/>
    </row>
    <row r="447" spans="1:9" hidden="1" x14ac:dyDescent="0.25">
      <c r="A447" s="9">
        <v>45810</v>
      </c>
      <c r="B447" s="4" t="s">
        <v>97</v>
      </c>
      <c r="C447" s="5" t="s">
        <v>8</v>
      </c>
      <c r="D447" s="18">
        <v>5</v>
      </c>
      <c r="E447" s="22">
        <v>210</v>
      </c>
      <c r="F447" s="6">
        <v>1050</v>
      </c>
      <c r="G447" s="6">
        <v>1239</v>
      </c>
      <c r="H447" s="23">
        <f>SALESTABLE[[#This Row],[Value]]*18%</f>
        <v>189</v>
      </c>
      <c r="I447" s="23"/>
    </row>
    <row r="448" spans="1:9" hidden="1" x14ac:dyDescent="0.25">
      <c r="A448" s="9">
        <v>45811</v>
      </c>
      <c r="B448" s="4" t="s">
        <v>86</v>
      </c>
      <c r="C448" s="5" t="s">
        <v>8</v>
      </c>
      <c r="D448" s="18">
        <v>210</v>
      </c>
      <c r="E448" s="22">
        <v>76</v>
      </c>
      <c r="F448" s="6">
        <v>15960</v>
      </c>
      <c r="G448" s="6">
        <v>18833</v>
      </c>
      <c r="H448" s="23">
        <f>SALESTABLE[[#This Row],[Value]]*18%</f>
        <v>2872.7999999999997</v>
      </c>
      <c r="I448" s="23"/>
    </row>
    <row r="449" spans="1:9" hidden="1" x14ac:dyDescent="0.25">
      <c r="A449" s="9">
        <v>45811</v>
      </c>
      <c r="B449" s="4" t="s">
        <v>13</v>
      </c>
      <c r="C449" s="5" t="s">
        <v>8</v>
      </c>
      <c r="D449" s="18">
        <v>1260</v>
      </c>
      <c r="E449" s="22">
        <v>68.5</v>
      </c>
      <c r="F449" s="6">
        <v>86310</v>
      </c>
      <c r="G449" s="6">
        <v>101846</v>
      </c>
      <c r="H449" s="23">
        <f>SALESTABLE[[#This Row],[Value]]*18%</f>
        <v>15535.8</v>
      </c>
      <c r="I449" s="23"/>
    </row>
    <row r="450" spans="1:9" hidden="1" x14ac:dyDescent="0.25">
      <c r="A450" s="9">
        <v>45811</v>
      </c>
      <c r="B450" s="4" t="s">
        <v>17</v>
      </c>
      <c r="C450" s="5" t="s">
        <v>8</v>
      </c>
      <c r="D450" s="18">
        <v>210</v>
      </c>
      <c r="E450" s="22">
        <v>72</v>
      </c>
      <c r="F450" s="6">
        <v>15120</v>
      </c>
      <c r="G450" s="6">
        <v>17842</v>
      </c>
      <c r="H450" s="23">
        <f>SALESTABLE[[#This Row],[Value]]*18%</f>
        <v>2721.6</v>
      </c>
      <c r="I450" s="23"/>
    </row>
    <row r="451" spans="1:9" hidden="1" x14ac:dyDescent="0.25">
      <c r="A451" s="9">
        <v>45811</v>
      </c>
      <c r="B451" s="4" t="s">
        <v>71</v>
      </c>
      <c r="C451" s="5" t="s">
        <v>8</v>
      </c>
      <c r="D451" s="18">
        <v>420</v>
      </c>
      <c r="E451" s="22">
        <v>80</v>
      </c>
      <c r="F451" s="6">
        <v>33600</v>
      </c>
      <c r="G451" s="6">
        <v>39648</v>
      </c>
      <c r="H451" s="23">
        <f>SALESTABLE[[#This Row],[Value]]*18%</f>
        <v>6048</v>
      </c>
      <c r="I451" s="23"/>
    </row>
    <row r="452" spans="1:9" hidden="1" x14ac:dyDescent="0.25">
      <c r="A452" s="9">
        <v>45811</v>
      </c>
      <c r="B452" s="4" t="s">
        <v>51</v>
      </c>
      <c r="C452" s="5" t="s">
        <v>8</v>
      </c>
      <c r="D452" s="18">
        <v>26</v>
      </c>
      <c r="E452" s="22">
        <v>115</v>
      </c>
      <c r="F452" s="6">
        <v>6580</v>
      </c>
      <c r="G452" s="6">
        <v>7764</v>
      </c>
      <c r="H452" s="23">
        <f>SALESTABLE[[#This Row],[Value]]*18%</f>
        <v>1184.3999999999999</v>
      </c>
      <c r="I452" s="23"/>
    </row>
    <row r="453" spans="1:9" x14ac:dyDescent="0.25">
      <c r="A453" s="9">
        <v>45811</v>
      </c>
      <c r="B453" t="s">
        <v>98</v>
      </c>
      <c r="C453" s="5" t="s">
        <v>8</v>
      </c>
      <c r="D453" s="18">
        <v>2</v>
      </c>
      <c r="E453" s="22">
        <v>220</v>
      </c>
      <c r="F453" s="6">
        <v>440</v>
      </c>
      <c r="G453" s="6">
        <v>519</v>
      </c>
      <c r="H453" s="23">
        <f>SALESTABLE[[#This Row],[Value]]*18%</f>
        <v>79.2</v>
      </c>
      <c r="I453" s="23"/>
    </row>
    <row r="454" spans="1:9" x14ac:dyDescent="0.25">
      <c r="A454" s="9">
        <v>45811</v>
      </c>
      <c r="B454" t="s">
        <v>98</v>
      </c>
      <c r="C454" s="5" t="s">
        <v>8</v>
      </c>
      <c r="D454" s="18">
        <v>5</v>
      </c>
      <c r="E454" s="22">
        <v>110</v>
      </c>
      <c r="F454" s="6">
        <v>550</v>
      </c>
      <c r="G454" s="6">
        <v>649</v>
      </c>
      <c r="H454" s="23">
        <f>SALESTABLE[[#This Row],[Value]]*18%</f>
        <v>99</v>
      </c>
      <c r="I454" s="23"/>
    </row>
    <row r="455" spans="1:9" hidden="1" x14ac:dyDescent="0.25">
      <c r="A455" s="9">
        <v>45811</v>
      </c>
      <c r="B455" s="4" t="s">
        <v>95</v>
      </c>
      <c r="C455" s="5" t="s">
        <v>8</v>
      </c>
      <c r="D455" s="18">
        <v>5</v>
      </c>
      <c r="E455" s="22">
        <v>130</v>
      </c>
      <c r="F455" s="6">
        <v>650</v>
      </c>
      <c r="G455" s="6">
        <v>767</v>
      </c>
      <c r="H455" s="23">
        <f>SALESTABLE[[#This Row],[Value]]*18%</f>
        <v>117</v>
      </c>
      <c r="I455" s="23"/>
    </row>
    <row r="456" spans="1:9" hidden="1" x14ac:dyDescent="0.25">
      <c r="A456" s="9">
        <v>45811</v>
      </c>
      <c r="B456" s="4" t="s">
        <v>66</v>
      </c>
      <c r="C456" s="5" t="s">
        <v>8</v>
      </c>
      <c r="D456" s="18">
        <v>130</v>
      </c>
      <c r="E456" s="22">
        <v>120</v>
      </c>
      <c r="F456" s="6">
        <v>15600</v>
      </c>
      <c r="G456" s="6">
        <v>18408</v>
      </c>
      <c r="H456" s="23">
        <f>SALESTABLE[[#This Row],[Value]]*18%</f>
        <v>2808</v>
      </c>
      <c r="I456" s="23"/>
    </row>
    <row r="457" spans="1:9" x14ac:dyDescent="0.25">
      <c r="A457" s="9">
        <v>45812</v>
      </c>
      <c r="B457" t="s">
        <v>98</v>
      </c>
      <c r="C457" s="5" t="s">
        <v>8</v>
      </c>
      <c r="D457" s="18">
        <v>52</v>
      </c>
      <c r="E457" s="22">
        <v>120</v>
      </c>
      <c r="F457" s="6">
        <v>6240</v>
      </c>
      <c r="G457" s="6">
        <v>7363</v>
      </c>
      <c r="H457" s="23">
        <f>SALESTABLE[[#This Row],[Value]]*18%</f>
        <v>1123.2</v>
      </c>
      <c r="I457" s="23"/>
    </row>
    <row r="458" spans="1:9" x14ac:dyDescent="0.25">
      <c r="A458" s="9">
        <v>45812</v>
      </c>
      <c r="B458" t="s">
        <v>98</v>
      </c>
      <c r="C458" s="5" t="s">
        <v>8</v>
      </c>
      <c r="D458" s="18">
        <v>210</v>
      </c>
      <c r="E458" s="22">
        <v>117</v>
      </c>
      <c r="F458" s="6">
        <v>24570</v>
      </c>
      <c r="G458" s="6">
        <v>28993</v>
      </c>
      <c r="H458" s="23">
        <f>SALESTABLE[[#This Row],[Value]]*18%</f>
        <v>4422.5999999999995</v>
      </c>
      <c r="I458" s="23"/>
    </row>
    <row r="459" spans="1:9" x14ac:dyDescent="0.25">
      <c r="A459" s="9">
        <v>45812</v>
      </c>
      <c r="B459" t="s">
        <v>98</v>
      </c>
      <c r="C459" s="5" t="s">
        <v>8</v>
      </c>
      <c r="D459" s="18">
        <v>26</v>
      </c>
      <c r="E459" s="22">
        <v>130</v>
      </c>
      <c r="F459" s="6">
        <v>3380</v>
      </c>
      <c r="G459" s="6">
        <v>3988</v>
      </c>
      <c r="H459" s="23">
        <f>SALESTABLE[[#This Row],[Value]]*18%</f>
        <v>608.4</v>
      </c>
      <c r="I459" s="23"/>
    </row>
    <row r="460" spans="1:9" hidden="1" x14ac:dyDescent="0.25">
      <c r="A460" s="9">
        <v>45812</v>
      </c>
      <c r="B460" s="4" t="s">
        <v>94</v>
      </c>
      <c r="C460" s="5" t="s">
        <v>8</v>
      </c>
      <c r="D460" s="18">
        <v>26</v>
      </c>
      <c r="E460" s="22">
        <v>115</v>
      </c>
      <c r="F460" s="6">
        <v>9578</v>
      </c>
      <c r="G460" s="6">
        <v>11302</v>
      </c>
      <c r="H460" s="23">
        <f>SALESTABLE[[#This Row],[Value]]*18%</f>
        <v>1724.04</v>
      </c>
      <c r="I460" s="23"/>
    </row>
    <row r="461" spans="1:9" x14ac:dyDescent="0.25">
      <c r="A461" s="9">
        <v>45812</v>
      </c>
      <c r="B461" t="s">
        <v>98</v>
      </c>
      <c r="C461" s="5" t="s">
        <v>8</v>
      </c>
      <c r="D461" s="18">
        <v>30</v>
      </c>
      <c r="E461" s="22">
        <v>106.67</v>
      </c>
      <c r="F461" s="6">
        <v>3200</v>
      </c>
      <c r="G461" s="6">
        <v>3776</v>
      </c>
      <c r="H461" s="23">
        <f>SALESTABLE[[#This Row],[Value]]*18%</f>
        <v>576</v>
      </c>
      <c r="I461" s="23"/>
    </row>
    <row r="462" spans="1:9" hidden="1" x14ac:dyDescent="0.25">
      <c r="A462" s="9">
        <v>45812</v>
      </c>
      <c r="B462" s="4" t="s">
        <v>95</v>
      </c>
      <c r="C462" s="5" t="s">
        <v>8</v>
      </c>
      <c r="D462" s="18">
        <v>220</v>
      </c>
      <c r="E462" s="22">
        <v>55</v>
      </c>
      <c r="F462" s="6">
        <v>12100</v>
      </c>
      <c r="G462" s="6">
        <v>14278</v>
      </c>
      <c r="H462" s="23">
        <f>SALESTABLE[[#This Row],[Value]]*18%</f>
        <v>2178</v>
      </c>
      <c r="I462" s="23"/>
    </row>
    <row r="463" spans="1:9" hidden="1" x14ac:dyDescent="0.25">
      <c r="A463" s="9">
        <v>45814</v>
      </c>
      <c r="B463" s="4" t="s">
        <v>11</v>
      </c>
      <c r="C463" s="5" t="s">
        <v>8</v>
      </c>
      <c r="D463" s="18">
        <v>70</v>
      </c>
      <c r="E463" s="22">
        <v>77.5</v>
      </c>
      <c r="F463" s="6">
        <v>5425</v>
      </c>
      <c r="G463" s="6">
        <v>6402</v>
      </c>
      <c r="H463" s="23">
        <f>SALESTABLE[[#This Row],[Value]]*18%</f>
        <v>976.5</v>
      </c>
      <c r="I463" s="23"/>
    </row>
    <row r="464" spans="1:9" hidden="1" x14ac:dyDescent="0.25">
      <c r="A464" s="9">
        <v>45814</v>
      </c>
      <c r="B464" s="4" t="s">
        <v>94</v>
      </c>
      <c r="C464" s="5" t="s">
        <v>8</v>
      </c>
      <c r="D464" s="18">
        <v>100</v>
      </c>
      <c r="E464" s="22">
        <v>95.5</v>
      </c>
      <c r="F464" s="6">
        <v>9550</v>
      </c>
      <c r="G464" s="6">
        <v>11269</v>
      </c>
      <c r="H464" s="23">
        <f>SALESTABLE[[#This Row],[Value]]*18%</f>
        <v>1719</v>
      </c>
      <c r="I464" s="23"/>
    </row>
    <row r="465" spans="1:9" hidden="1" x14ac:dyDescent="0.25">
      <c r="A465" s="9">
        <v>45814</v>
      </c>
      <c r="B465" s="4" t="s">
        <v>95</v>
      </c>
      <c r="C465" s="5" t="s">
        <v>8</v>
      </c>
      <c r="D465" s="18">
        <v>33</v>
      </c>
      <c r="E465" s="22">
        <v>111.58</v>
      </c>
      <c r="F465" s="6">
        <v>3682</v>
      </c>
      <c r="G465" s="6">
        <v>4345</v>
      </c>
      <c r="H465" s="23">
        <f>SALESTABLE[[#This Row],[Value]]*18%</f>
        <v>662.76</v>
      </c>
      <c r="I465" s="23"/>
    </row>
    <row r="466" spans="1:9" hidden="1" x14ac:dyDescent="0.25">
      <c r="A466" s="9">
        <v>45814</v>
      </c>
      <c r="B466" s="4" t="s">
        <v>96</v>
      </c>
      <c r="C466" s="5" t="s">
        <v>8</v>
      </c>
      <c r="D466" s="18">
        <v>420</v>
      </c>
      <c r="E466" s="22">
        <v>55</v>
      </c>
      <c r="F466" s="6">
        <v>23100</v>
      </c>
      <c r="G466" s="6">
        <v>27258</v>
      </c>
      <c r="H466" s="23">
        <f>SALESTABLE[[#This Row],[Value]]*18%</f>
        <v>4158</v>
      </c>
      <c r="I466" s="23"/>
    </row>
    <row r="467" spans="1:9" hidden="1" x14ac:dyDescent="0.25">
      <c r="A467" s="9">
        <v>45814</v>
      </c>
      <c r="B467" s="4" t="s">
        <v>102</v>
      </c>
      <c r="C467" s="5" t="s">
        <v>8</v>
      </c>
      <c r="D467" s="18">
        <v>2</v>
      </c>
      <c r="E467" s="22">
        <v>294</v>
      </c>
      <c r="F467" s="6">
        <v>588</v>
      </c>
      <c r="G467" s="6">
        <v>694</v>
      </c>
      <c r="H467" s="23">
        <f>SALESTABLE[[#This Row],[Value]]*18%</f>
        <v>105.83999999999999</v>
      </c>
      <c r="I467" s="23"/>
    </row>
    <row r="468" spans="1:9" hidden="1" x14ac:dyDescent="0.25">
      <c r="A468" s="9">
        <v>45815</v>
      </c>
      <c r="B468" s="4" t="s">
        <v>94</v>
      </c>
      <c r="C468" s="5" t="s">
        <v>8</v>
      </c>
      <c r="D468" s="18">
        <v>5</v>
      </c>
      <c r="E468" s="22">
        <v>158</v>
      </c>
      <c r="F468" s="6">
        <v>790</v>
      </c>
      <c r="G468" s="6">
        <v>932</v>
      </c>
      <c r="H468" s="23">
        <f>SALESTABLE[[#This Row],[Value]]*18%</f>
        <v>142.19999999999999</v>
      </c>
      <c r="I468" s="23"/>
    </row>
    <row r="469" spans="1:9" hidden="1" x14ac:dyDescent="0.25">
      <c r="A469" s="9">
        <v>45815</v>
      </c>
      <c r="B469" s="4" t="s">
        <v>96</v>
      </c>
      <c r="C469" s="5" t="s">
        <v>8</v>
      </c>
      <c r="D469" s="18">
        <v>148</v>
      </c>
      <c r="E469" s="22">
        <v>98.72</v>
      </c>
      <c r="F469" s="6">
        <v>14610</v>
      </c>
      <c r="G469" s="6">
        <v>17240</v>
      </c>
      <c r="H469" s="23">
        <f>SALESTABLE[[#This Row],[Value]]*18%</f>
        <v>2629.7999999999997</v>
      </c>
      <c r="I469" s="23"/>
    </row>
    <row r="470" spans="1:9" hidden="1" x14ac:dyDescent="0.25">
      <c r="A470" s="9">
        <v>45815</v>
      </c>
      <c r="B470" s="4" t="s">
        <v>37</v>
      </c>
      <c r="C470" s="5" t="s">
        <v>8</v>
      </c>
      <c r="D470" s="18">
        <v>10</v>
      </c>
      <c r="E470" s="22">
        <v>110</v>
      </c>
      <c r="F470" s="6">
        <v>1100</v>
      </c>
      <c r="G470" s="6">
        <v>1298</v>
      </c>
      <c r="H470" s="23">
        <f>SALESTABLE[[#This Row],[Value]]*18%</f>
        <v>198</v>
      </c>
      <c r="I470" s="23"/>
    </row>
    <row r="471" spans="1:9" hidden="1" x14ac:dyDescent="0.25">
      <c r="A471" s="9">
        <v>45815</v>
      </c>
      <c r="B471" s="4" t="s">
        <v>17</v>
      </c>
      <c r="C471" s="5" t="s">
        <v>8</v>
      </c>
      <c r="D471" s="18">
        <v>210</v>
      </c>
      <c r="E471" s="22">
        <v>72</v>
      </c>
      <c r="F471" s="6">
        <v>15120</v>
      </c>
      <c r="G471" s="6">
        <v>17842</v>
      </c>
      <c r="H471" s="23">
        <f>SALESTABLE[[#This Row],[Value]]*18%</f>
        <v>2721.6</v>
      </c>
      <c r="I471" s="23"/>
    </row>
    <row r="472" spans="1:9" hidden="1" x14ac:dyDescent="0.25">
      <c r="A472" s="9">
        <v>45815</v>
      </c>
      <c r="B472" s="4" t="s">
        <v>97</v>
      </c>
      <c r="C472" s="5" t="s">
        <v>8</v>
      </c>
      <c r="D472" s="18">
        <v>2050</v>
      </c>
      <c r="E472" s="22">
        <v>105</v>
      </c>
      <c r="F472" s="6">
        <v>215250</v>
      </c>
      <c r="G472" s="6">
        <v>253995</v>
      </c>
      <c r="H472" s="23">
        <f>SALESTABLE[[#This Row],[Value]]*18%</f>
        <v>38745</v>
      </c>
      <c r="I472" s="23"/>
    </row>
    <row r="473" spans="1:9" hidden="1" x14ac:dyDescent="0.25">
      <c r="A473" s="9">
        <v>45816</v>
      </c>
      <c r="B473" s="4" t="s">
        <v>97</v>
      </c>
      <c r="C473" s="5" t="s">
        <v>8</v>
      </c>
      <c r="D473" s="18">
        <v>10</v>
      </c>
      <c r="E473" s="22">
        <v>160</v>
      </c>
      <c r="F473" s="6">
        <v>1600</v>
      </c>
      <c r="G473" s="6">
        <v>1888</v>
      </c>
      <c r="H473" s="23">
        <f>SALESTABLE[[#This Row],[Value]]*18%</f>
        <v>288</v>
      </c>
      <c r="I473" s="23"/>
    </row>
    <row r="474" spans="1:9" hidden="1" x14ac:dyDescent="0.25">
      <c r="A474" s="9">
        <v>45816</v>
      </c>
      <c r="B474" s="4" t="s">
        <v>94</v>
      </c>
      <c r="C474" s="5" t="s">
        <v>8</v>
      </c>
      <c r="D474" s="18">
        <v>35</v>
      </c>
      <c r="E474" s="22">
        <v>75</v>
      </c>
      <c r="F474" s="6">
        <v>2625</v>
      </c>
      <c r="G474" s="6">
        <v>3098</v>
      </c>
      <c r="H474" s="23">
        <f>SALESTABLE[[#This Row],[Value]]*18%</f>
        <v>472.5</v>
      </c>
      <c r="I474" s="23"/>
    </row>
    <row r="475" spans="1:9" hidden="1" x14ac:dyDescent="0.25">
      <c r="A475" s="9">
        <v>45816</v>
      </c>
      <c r="B475" s="4" t="s">
        <v>70</v>
      </c>
      <c r="C475" s="5" t="s">
        <v>8</v>
      </c>
      <c r="D475" s="18">
        <v>2</v>
      </c>
      <c r="E475" s="22">
        <v>120</v>
      </c>
      <c r="F475" s="6">
        <v>240</v>
      </c>
      <c r="G475" s="6">
        <v>283</v>
      </c>
      <c r="H475" s="23">
        <f>SALESTABLE[[#This Row],[Value]]*18%</f>
        <v>43.199999999999996</v>
      </c>
      <c r="I475" s="23"/>
    </row>
    <row r="476" spans="1:9" hidden="1" x14ac:dyDescent="0.25">
      <c r="A476" s="9">
        <v>45816</v>
      </c>
      <c r="B476" s="4" t="s">
        <v>95</v>
      </c>
      <c r="C476" s="5" t="s">
        <v>8</v>
      </c>
      <c r="D476" s="18">
        <v>78</v>
      </c>
      <c r="E476" s="22">
        <v>103.33</v>
      </c>
      <c r="F476" s="6">
        <v>8060</v>
      </c>
      <c r="G476" s="6">
        <v>9511</v>
      </c>
      <c r="H476" s="23">
        <f>SALESTABLE[[#This Row],[Value]]*18%</f>
        <v>1450.8</v>
      </c>
      <c r="I476" s="23"/>
    </row>
    <row r="477" spans="1:9" hidden="1" x14ac:dyDescent="0.25">
      <c r="A477" s="9">
        <v>45817</v>
      </c>
      <c r="B477" s="4" t="s">
        <v>95</v>
      </c>
      <c r="C477" s="5" t="s">
        <v>8</v>
      </c>
      <c r="D477" s="18">
        <v>270</v>
      </c>
      <c r="E477" s="22">
        <v>55</v>
      </c>
      <c r="F477" s="6">
        <v>14850</v>
      </c>
      <c r="G477" s="6">
        <v>17523</v>
      </c>
      <c r="H477" s="23">
        <f>SALESTABLE[[#This Row],[Value]]*18%</f>
        <v>2673</v>
      </c>
      <c r="I477" s="23"/>
    </row>
    <row r="478" spans="1:9" hidden="1" x14ac:dyDescent="0.25">
      <c r="A478" s="9">
        <v>45817</v>
      </c>
      <c r="B478" s="4" t="s">
        <v>94</v>
      </c>
      <c r="C478" s="5" t="s">
        <v>8</v>
      </c>
      <c r="D478" s="18">
        <v>630</v>
      </c>
      <c r="E478" s="22">
        <v>75</v>
      </c>
      <c r="F478" s="6">
        <v>47250</v>
      </c>
      <c r="G478" s="6">
        <v>55755</v>
      </c>
      <c r="H478" s="23">
        <f>SALESTABLE[[#This Row],[Value]]*18%</f>
        <v>8505</v>
      </c>
      <c r="I478" s="23"/>
    </row>
    <row r="479" spans="1:9" hidden="1" x14ac:dyDescent="0.25">
      <c r="A479" s="9">
        <v>45817</v>
      </c>
      <c r="B479" s="4" t="s">
        <v>67</v>
      </c>
      <c r="C479" s="5" t="s">
        <v>8</v>
      </c>
      <c r="D479" s="18">
        <v>26</v>
      </c>
      <c r="E479" s="22">
        <v>125</v>
      </c>
      <c r="F479" s="6">
        <v>3250</v>
      </c>
      <c r="G479" s="6">
        <v>3835</v>
      </c>
      <c r="H479" s="23">
        <f>SALESTABLE[[#This Row],[Value]]*18%</f>
        <v>585</v>
      </c>
      <c r="I479" s="23"/>
    </row>
    <row r="480" spans="1:9" hidden="1" x14ac:dyDescent="0.25">
      <c r="A480" s="9">
        <v>45817</v>
      </c>
      <c r="B480" s="4" t="s">
        <v>76</v>
      </c>
      <c r="C480" s="5" t="s">
        <v>8</v>
      </c>
      <c r="D480" s="18">
        <v>52</v>
      </c>
      <c r="E480" s="22">
        <v>135</v>
      </c>
      <c r="F480" s="6">
        <v>7020</v>
      </c>
      <c r="G480" s="6">
        <v>8284</v>
      </c>
      <c r="H480" s="23">
        <f>SALESTABLE[[#This Row],[Value]]*18%</f>
        <v>1263.5999999999999</v>
      </c>
      <c r="I480" s="23"/>
    </row>
    <row r="481" spans="1:9" hidden="1" x14ac:dyDescent="0.25">
      <c r="A481" s="9">
        <v>45817</v>
      </c>
      <c r="B481" s="4" t="s">
        <v>95</v>
      </c>
      <c r="C481" s="5" t="s">
        <v>8</v>
      </c>
      <c r="D481" s="18">
        <v>20</v>
      </c>
      <c r="E481" s="22">
        <v>150</v>
      </c>
      <c r="F481" s="6">
        <v>3000</v>
      </c>
      <c r="G481" s="6">
        <v>3540</v>
      </c>
      <c r="H481" s="23">
        <f>SALESTABLE[[#This Row],[Value]]*18%</f>
        <v>540</v>
      </c>
      <c r="I481" s="23"/>
    </row>
    <row r="482" spans="1:9" hidden="1" x14ac:dyDescent="0.25">
      <c r="A482" s="9">
        <v>45817</v>
      </c>
      <c r="B482" s="4" t="s">
        <v>63</v>
      </c>
      <c r="C482" s="5" t="s">
        <v>8</v>
      </c>
      <c r="D482" s="18">
        <v>26</v>
      </c>
      <c r="E482" s="22">
        <v>115</v>
      </c>
      <c r="F482" s="6">
        <v>251567.4</v>
      </c>
      <c r="G482" s="6">
        <v>294822</v>
      </c>
      <c r="H482" s="23">
        <f>SALESTABLE[[#This Row],[Value]]*18%</f>
        <v>45282.131999999998</v>
      </c>
      <c r="I482" s="23"/>
    </row>
    <row r="483" spans="1:9" hidden="1" x14ac:dyDescent="0.25">
      <c r="A483" s="9">
        <v>45817</v>
      </c>
      <c r="B483" s="4" t="s">
        <v>9</v>
      </c>
      <c r="C483" s="5" t="s">
        <v>8</v>
      </c>
      <c r="D483" s="18">
        <v>5</v>
      </c>
      <c r="E483" s="22">
        <v>200</v>
      </c>
      <c r="F483" s="6">
        <v>1000</v>
      </c>
      <c r="G483" s="6">
        <v>1180</v>
      </c>
      <c r="H483" s="23">
        <f>SALESTABLE[[#This Row],[Value]]*18%</f>
        <v>180</v>
      </c>
      <c r="I483" s="23"/>
    </row>
    <row r="484" spans="1:9" hidden="1" x14ac:dyDescent="0.25">
      <c r="A484" s="9">
        <v>45817</v>
      </c>
      <c r="B484" s="4" t="s">
        <v>94</v>
      </c>
      <c r="C484" s="5" t="s">
        <v>8</v>
      </c>
      <c r="D484" s="18">
        <v>184</v>
      </c>
      <c r="E484" s="22">
        <v>196.3</v>
      </c>
      <c r="F484" s="6">
        <v>36120</v>
      </c>
      <c r="G484" s="6">
        <v>42622</v>
      </c>
      <c r="H484" s="23">
        <f>SALESTABLE[[#This Row],[Value]]*18%</f>
        <v>6501.5999999999995</v>
      </c>
      <c r="I484" s="23"/>
    </row>
    <row r="485" spans="1:9" hidden="1" x14ac:dyDescent="0.25">
      <c r="A485" s="9">
        <v>45817</v>
      </c>
      <c r="B485" s="4" t="s">
        <v>87</v>
      </c>
      <c r="C485" s="5" t="s">
        <v>8</v>
      </c>
      <c r="D485" s="18">
        <v>50</v>
      </c>
      <c r="E485" s="22">
        <v>94</v>
      </c>
      <c r="F485" s="6">
        <v>4700</v>
      </c>
      <c r="G485" s="6">
        <v>5546</v>
      </c>
      <c r="H485" s="23">
        <f>SALESTABLE[[#This Row],[Value]]*18%</f>
        <v>846</v>
      </c>
      <c r="I485" s="23"/>
    </row>
    <row r="486" spans="1:9" hidden="1" x14ac:dyDescent="0.25">
      <c r="A486" s="9">
        <v>45817</v>
      </c>
      <c r="B486" s="4" t="s">
        <v>63</v>
      </c>
      <c r="C486" s="5" t="s">
        <v>8</v>
      </c>
      <c r="D486" s="18">
        <v>26</v>
      </c>
      <c r="E486" s="22">
        <v>115</v>
      </c>
      <c r="F486" s="6">
        <v>112061.2</v>
      </c>
      <c r="G486" s="6">
        <v>131218</v>
      </c>
      <c r="H486" s="23">
        <f>SALESTABLE[[#This Row],[Value]]*18%</f>
        <v>20171.016</v>
      </c>
      <c r="I486" s="23"/>
    </row>
    <row r="487" spans="1:9" hidden="1" x14ac:dyDescent="0.25">
      <c r="A487" s="9">
        <v>45817</v>
      </c>
      <c r="B487" s="4" t="s">
        <v>93</v>
      </c>
      <c r="C487" s="5" t="s">
        <v>8</v>
      </c>
      <c r="D487" s="18">
        <v>210</v>
      </c>
      <c r="E487" s="22">
        <v>80</v>
      </c>
      <c r="F487" s="6">
        <v>16800</v>
      </c>
      <c r="G487" s="6">
        <v>19824</v>
      </c>
      <c r="H487" s="23">
        <f>SALESTABLE[[#This Row],[Value]]*18%</f>
        <v>3024</v>
      </c>
      <c r="I487" s="23"/>
    </row>
    <row r="488" spans="1:9" hidden="1" x14ac:dyDescent="0.25">
      <c r="A488" s="9">
        <v>45818</v>
      </c>
      <c r="B488" s="4" t="s">
        <v>50</v>
      </c>
      <c r="C488" s="5" t="s">
        <v>8</v>
      </c>
      <c r="D488" s="18">
        <v>420</v>
      </c>
      <c r="E488" s="22">
        <v>110</v>
      </c>
      <c r="F488" s="6">
        <v>46200</v>
      </c>
      <c r="G488" s="6">
        <v>54516</v>
      </c>
      <c r="H488" s="23">
        <f>SALESTABLE[[#This Row],[Value]]*18%</f>
        <v>8316</v>
      </c>
      <c r="I488" s="23"/>
    </row>
    <row r="489" spans="1:9" hidden="1" x14ac:dyDescent="0.25">
      <c r="A489" s="9">
        <v>45818</v>
      </c>
      <c r="B489" s="4" t="s">
        <v>96</v>
      </c>
      <c r="C489" s="5" t="s">
        <v>8</v>
      </c>
      <c r="D489" s="18">
        <v>210</v>
      </c>
      <c r="E489" s="22">
        <v>107</v>
      </c>
      <c r="F489" s="6">
        <v>22470</v>
      </c>
      <c r="G489" s="6">
        <v>26515</v>
      </c>
      <c r="H489" s="23">
        <f>SALESTABLE[[#This Row],[Value]]*18%</f>
        <v>4044.6</v>
      </c>
      <c r="I489" s="23"/>
    </row>
    <row r="490" spans="1:9" hidden="1" x14ac:dyDescent="0.25">
      <c r="A490" s="9">
        <v>45818</v>
      </c>
      <c r="B490" s="4" t="s">
        <v>96</v>
      </c>
      <c r="C490" s="5" t="s">
        <v>8</v>
      </c>
      <c r="D490" s="18">
        <v>78</v>
      </c>
      <c r="E490" s="22">
        <v>105</v>
      </c>
      <c r="F490" s="6">
        <v>8190</v>
      </c>
      <c r="G490" s="6">
        <v>9664</v>
      </c>
      <c r="H490" s="23">
        <f>SALESTABLE[[#This Row],[Value]]*18%</f>
        <v>1474.2</v>
      </c>
      <c r="I490" s="23"/>
    </row>
    <row r="491" spans="1:9" hidden="1" x14ac:dyDescent="0.25">
      <c r="A491" s="9">
        <v>45818</v>
      </c>
      <c r="B491" s="4" t="s">
        <v>102</v>
      </c>
      <c r="C491" s="5" t="s">
        <v>8</v>
      </c>
      <c r="D491" s="18">
        <v>210</v>
      </c>
      <c r="E491" s="22">
        <v>80</v>
      </c>
      <c r="F491" s="6">
        <v>16800</v>
      </c>
      <c r="G491" s="6">
        <v>19824</v>
      </c>
      <c r="H491" s="23">
        <f>SALESTABLE[[#This Row],[Value]]*18%</f>
        <v>3024</v>
      </c>
      <c r="I491" s="23"/>
    </row>
    <row r="492" spans="1:9" hidden="1" x14ac:dyDescent="0.25">
      <c r="A492" s="9">
        <v>45818</v>
      </c>
      <c r="B492" s="4" t="s">
        <v>86</v>
      </c>
      <c r="C492" s="5" t="s">
        <v>8</v>
      </c>
      <c r="D492" s="18">
        <v>210</v>
      </c>
      <c r="E492" s="22">
        <v>76</v>
      </c>
      <c r="F492" s="6">
        <v>15960</v>
      </c>
      <c r="G492" s="6">
        <v>18833</v>
      </c>
      <c r="H492" s="23">
        <f>SALESTABLE[[#This Row],[Value]]*18%</f>
        <v>2872.7999999999997</v>
      </c>
      <c r="I492" s="23"/>
    </row>
    <row r="493" spans="1:9" hidden="1" x14ac:dyDescent="0.25">
      <c r="A493" s="9">
        <v>45818</v>
      </c>
      <c r="B493" s="4" t="s">
        <v>20</v>
      </c>
      <c r="C493" s="5" t="s">
        <v>8</v>
      </c>
      <c r="D493" s="18">
        <v>26</v>
      </c>
      <c r="E493" s="22">
        <v>120</v>
      </c>
      <c r="F493" s="6">
        <v>3120</v>
      </c>
      <c r="G493" s="6">
        <v>3682</v>
      </c>
      <c r="H493" s="23">
        <f>SALESTABLE[[#This Row],[Value]]*18%</f>
        <v>561.6</v>
      </c>
      <c r="I493" s="23"/>
    </row>
    <row r="494" spans="1:9" hidden="1" x14ac:dyDescent="0.25">
      <c r="A494" s="9">
        <v>45818</v>
      </c>
      <c r="B494" s="4" t="s">
        <v>97</v>
      </c>
      <c r="C494" s="5" t="s">
        <v>8</v>
      </c>
      <c r="D494" s="18">
        <v>10</v>
      </c>
      <c r="E494" s="22">
        <v>120</v>
      </c>
      <c r="F494" s="6">
        <v>1200</v>
      </c>
      <c r="G494" s="6">
        <v>1416</v>
      </c>
      <c r="H494" s="23">
        <f>SALESTABLE[[#This Row],[Value]]*18%</f>
        <v>216</v>
      </c>
      <c r="I494" s="23"/>
    </row>
    <row r="495" spans="1:9" hidden="1" x14ac:dyDescent="0.25">
      <c r="A495" s="9">
        <v>45818</v>
      </c>
      <c r="B495" s="4" t="s">
        <v>16</v>
      </c>
      <c r="C495" s="5" t="s">
        <v>8</v>
      </c>
      <c r="D495" s="18">
        <v>20</v>
      </c>
      <c r="E495" s="22">
        <v>175</v>
      </c>
      <c r="F495" s="6">
        <v>3500</v>
      </c>
      <c r="G495" s="6">
        <v>4130</v>
      </c>
      <c r="H495" s="23">
        <f>SALESTABLE[[#This Row],[Value]]*18%</f>
        <v>630</v>
      </c>
      <c r="I495" s="23"/>
    </row>
    <row r="496" spans="1:9" hidden="1" x14ac:dyDescent="0.25">
      <c r="A496" s="9">
        <v>45818</v>
      </c>
      <c r="B496" s="4" t="s">
        <v>42</v>
      </c>
      <c r="C496" s="5" t="s">
        <v>8</v>
      </c>
      <c r="D496" s="18">
        <v>210</v>
      </c>
      <c r="E496" s="22">
        <v>90</v>
      </c>
      <c r="F496" s="6">
        <v>18900</v>
      </c>
      <c r="G496" s="6">
        <v>22302</v>
      </c>
      <c r="H496" s="23">
        <f>SALESTABLE[[#This Row],[Value]]*18%</f>
        <v>3402</v>
      </c>
      <c r="I496" s="23"/>
    </row>
    <row r="497" spans="1:9" x14ac:dyDescent="0.25">
      <c r="A497" s="9">
        <v>45818</v>
      </c>
      <c r="B497" t="s">
        <v>98</v>
      </c>
      <c r="C497" s="5" t="s">
        <v>8</v>
      </c>
      <c r="D497" s="18">
        <v>210</v>
      </c>
      <c r="E497" s="22">
        <v>116</v>
      </c>
      <c r="F497" s="6">
        <v>24360</v>
      </c>
      <c r="G497" s="6">
        <v>28745</v>
      </c>
      <c r="H497" s="23">
        <f>SALESTABLE[[#This Row],[Value]]*18%</f>
        <v>4384.8</v>
      </c>
      <c r="I497" s="23"/>
    </row>
    <row r="498" spans="1:9" hidden="1" x14ac:dyDescent="0.25">
      <c r="A498" s="9">
        <v>45818</v>
      </c>
      <c r="B498" s="4" t="s">
        <v>83</v>
      </c>
      <c r="C498" s="5" t="s">
        <v>8</v>
      </c>
      <c r="D498" s="18">
        <v>26</v>
      </c>
      <c r="E498" s="22">
        <v>116</v>
      </c>
      <c r="F498" s="6">
        <v>3016</v>
      </c>
      <c r="G498" s="6">
        <v>3559</v>
      </c>
      <c r="H498" s="23">
        <f>SALESTABLE[[#This Row],[Value]]*18%</f>
        <v>542.88</v>
      </c>
      <c r="I498" s="23"/>
    </row>
    <row r="499" spans="1:9" x14ac:dyDescent="0.25">
      <c r="A499" s="9">
        <v>45818</v>
      </c>
      <c r="B499" t="s">
        <v>98</v>
      </c>
      <c r="C499" s="5" t="s">
        <v>8</v>
      </c>
      <c r="D499" s="18">
        <v>26</v>
      </c>
      <c r="E499" s="22">
        <v>115</v>
      </c>
      <c r="F499" s="6">
        <v>230</v>
      </c>
      <c r="G499" s="6">
        <v>256</v>
      </c>
      <c r="H499" s="23">
        <f>SALESTABLE[[#This Row],[Value]]*18%</f>
        <v>41.4</v>
      </c>
      <c r="I499" s="23"/>
    </row>
    <row r="500" spans="1:9" hidden="1" x14ac:dyDescent="0.25">
      <c r="A500" s="9">
        <v>45819</v>
      </c>
      <c r="B500" s="4" t="s">
        <v>97</v>
      </c>
      <c r="C500" s="5" t="s">
        <v>8</v>
      </c>
      <c r="D500" s="18">
        <v>5</v>
      </c>
      <c r="E500" s="22">
        <v>180</v>
      </c>
      <c r="F500" s="6">
        <v>900</v>
      </c>
      <c r="G500" s="6">
        <v>1062</v>
      </c>
      <c r="H500" s="23">
        <f>SALESTABLE[[#This Row],[Value]]*18%</f>
        <v>162</v>
      </c>
      <c r="I500" s="23"/>
    </row>
    <row r="501" spans="1:9" x14ac:dyDescent="0.25">
      <c r="A501" s="9">
        <v>45819</v>
      </c>
      <c r="B501" t="s">
        <v>98</v>
      </c>
      <c r="C501" s="5" t="s">
        <v>8</v>
      </c>
      <c r="D501" s="18">
        <v>2</v>
      </c>
      <c r="E501" s="22">
        <v>250</v>
      </c>
      <c r="F501" s="6">
        <v>500</v>
      </c>
      <c r="G501" s="6">
        <v>590</v>
      </c>
      <c r="H501" s="23">
        <f>SALESTABLE[[#This Row],[Value]]*18%</f>
        <v>90</v>
      </c>
      <c r="I501" s="23"/>
    </row>
    <row r="502" spans="1:9" hidden="1" x14ac:dyDescent="0.25">
      <c r="A502" s="9">
        <v>45819</v>
      </c>
      <c r="B502" s="4" t="s">
        <v>60</v>
      </c>
      <c r="C502" s="5" t="s">
        <v>8</v>
      </c>
      <c r="D502" s="18">
        <v>20</v>
      </c>
      <c r="E502" s="22">
        <v>180</v>
      </c>
      <c r="F502" s="6">
        <v>3600</v>
      </c>
      <c r="G502" s="6">
        <v>4248</v>
      </c>
      <c r="H502" s="23">
        <f>SALESTABLE[[#This Row],[Value]]*18%</f>
        <v>648</v>
      </c>
      <c r="I502" s="23"/>
    </row>
    <row r="503" spans="1:9" hidden="1" x14ac:dyDescent="0.25">
      <c r="A503" s="9">
        <v>45819</v>
      </c>
      <c r="B503" s="4" t="s">
        <v>96</v>
      </c>
      <c r="C503" s="5" t="s">
        <v>8</v>
      </c>
      <c r="D503" s="18">
        <v>420</v>
      </c>
      <c r="E503" s="22">
        <v>55</v>
      </c>
      <c r="F503" s="6">
        <v>23100</v>
      </c>
      <c r="G503" s="6">
        <v>27258</v>
      </c>
      <c r="H503" s="23">
        <f>SALESTABLE[[#This Row],[Value]]*18%</f>
        <v>4158</v>
      </c>
      <c r="I503" s="23"/>
    </row>
    <row r="504" spans="1:9" hidden="1" x14ac:dyDescent="0.25">
      <c r="A504" s="9">
        <v>45819</v>
      </c>
      <c r="B504" s="4" t="s">
        <v>10</v>
      </c>
      <c r="C504" s="5" t="s">
        <v>8</v>
      </c>
      <c r="D504" s="18">
        <v>26</v>
      </c>
      <c r="E504" s="22">
        <v>125</v>
      </c>
      <c r="F504" s="6">
        <v>3250</v>
      </c>
      <c r="G504" s="6">
        <v>3835</v>
      </c>
      <c r="H504" s="23">
        <f>SALESTABLE[[#This Row],[Value]]*18%</f>
        <v>585</v>
      </c>
      <c r="I504" s="23"/>
    </row>
    <row r="505" spans="1:9" hidden="1" x14ac:dyDescent="0.25">
      <c r="A505" s="9">
        <v>45819</v>
      </c>
      <c r="B505" s="4" t="s">
        <v>44</v>
      </c>
      <c r="C505" s="5" t="s">
        <v>8</v>
      </c>
      <c r="D505" s="18">
        <v>104</v>
      </c>
      <c r="E505" s="22">
        <v>112</v>
      </c>
      <c r="F505" s="6">
        <v>11648</v>
      </c>
      <c r="G505" s="6">
        <v>13745</v>
      </c>
      <c r="H505" s="23">
        <f>SALESTABLE[[#This Row],[Value]]*18%</f>
        <v>2096.64</v>
      </c>
      <c r="I505" s="23"/>
    </row>
    <row r="506" spans="1:9" hidden="1" x14ac:dyDescent="0.25">
      <c r="A506" s="9">
        <v>45819</v>
      </c>
      <c r="B506" s="4" t="s">
        <v>94</v>
      </c>
      <c r="C506" s="5" t="s">
        <v>8</v>
      </c>
      <c r="D506" s="18">
        <v>30</v>
      </c>
      <c r="E506" s="22">
        <v>170</v>
      </c>
      <c r="F506" s="6">
        <v>5100</v>
      </c>
      <c r="G506" s="6">
        <v>6018</v>
      </c>
      <c r="H506" s="23">
        <f>SALESTABLE[[#This Row],[Value]]*18%</f>
        <v>918</v>
      </c>
      <c r="I506" s="23"/>
    </row>
    <row r="507" spans="1:9" hidden="1" x14ac:dyDescent="0.25">
      <c r="A507" s="9">
        <v>45819</v>
      </c>
      <c r="B507" s="4" t="s">
        <v>63</v>
      </c>
      <c r="C507" s="5" t="s">
        <v>8</v>
      </c>
      <c r="D507" s="18">
        <v>100</v>
      </c>
      <c r="E507" s="22">
        <v>195</v>
      </c>
      <c r="F507" s="6">
        <v>19500</v>
      </c>
      <c r="G507" s="6">
        <v>23010</v>
      </c>
      <c r="H507" s="23">
        <f>SALESTABLE[[#This Row],[Value]]*18%</f>
        <v>3510</v>
      </c>
      <c r="I507" s="23"/>
    </row>
    <row r="508" spans="1:9" hidden="1" x14ac:dyDescent="0.25">
      <c r="A508" s="9">
        <v>45819</v>
      </c>
      <c r="B508" s="4" t="s">
        <v>95</v>
      </c>
      <c r="C508" s="5" t="s">
        <v>8</v>
      </c>
      <c r="D508" s="18">
        <v>220</v>
      </c>
      <c r="E508" s="22">
        <v>55</v>
      </c>
      <c r="F508" s="6">
        <v>12100</v>
      </c>
      <c r="G508" s="6">
        <v>14278</v>
      </c>
      <c r="H508" s="23">
        <f>SALESTABLE[[#This Row],[Value]]*18%</f>
        <v>2178</v>
      </c>
      <c r="I508" s="23"/>
    </row>
    <row r="509" spans="1:9" hidden="1" x14ac:dyDescent="0.25">
      <c r="A509" s="9">
        <v>45819</v>
      </c>
      <c r="B509" s="4" t="s">
        <v>87</v>
      </c>
      <c r="C509" s="5" t="s">
        <v>8</v>
      </c>
      <c r="D509" s="18">
        <v>50</v>
      </c>
      <c r="E509" s="22">
        <v>94</v>
      </c>
      <c r="F509" s="6">
        <v>4700</v>
      </c>
      <c r="G509" s="6">
        <v>5546</v>
      </c>
      <c r="H509" s="23">
        <f>SALESTABLE[[#This Row],[Value]]*18%</f>
        <v>846</v>
      </c>
      <c r="I509" s="23"/>
    </row>
    <row r="510" spans="1:9" hidden="1" x14ac:dyDescent="0.25">
      <c r="A510" s="9">
        <v>45821</v>
      </c>
      <c r="B510" s="4" t="s">
        <v>14</v>
      </c>
      <c r="C510" s="5" t="s">
        <v>8</v>
      </c>
      <c r="D510" s="18">
        <v>26</v>
      </c>
      <c r="E510" s="22">
        <v>108</v>
      </c>
      <c r="F510" s="6">
        <v>2808</v>
      </c>
      <c r="G510" s="6">
        <v>3313</v>
      </c>
      <c r="H510" s="23">
        <f>SALESTABLE[[#This Row],[Value]]*18%</f>
        <v>505.44</v>
      </c>
      <c r="I510" s="23"/>
    </row>
    <row r="511" spans="1:9" hidden="1" x14ac:dyDescent="0.25">
      <c r="A511" s="9">
        <v>45821</v>
      </c>
      <c r="B511" s="4" t="s">
        <v>42</v>
      </c>
      <c r="C511" s="5" t="s">
        <v>8</v>
      </c>
      <c r="D511" s="18">
        <v>122</v>
      </c>
      <c r="E511" s="22">
        <v>105.66</v>
      </c>
      <c r="F511" s="6">
        <v>12890</v>
      </c>
      <c r="G511" s="6">
        <v>15210</v>
      </c>
      <c r="H511" s="23">
        <f>SALESTABLE[[#This Row],[Value]]*18%</f>
        <v>2320.1999999999998</v>
      </c>
      <c r="I511" s="23"/>
    </row>
    <row r="512" spans="1:9" x14ac:dyDescent="0.25">
      <c r="A512" s="9">
        <v>45821</v>
      </c>
      <c r="B512" t="s">
        <v>98</v>
      </c>
      <c r="C512" s="5" t="s">
        <v>8</v>
      </c>
      <c r="D512" s="18">
        <v>210</v>
      </c>
      <c r="E512" s="22">
        <v>90</v>
      </c>
      <c r="F512" s="6">
        <v>18900</v>
      </c>
      <c r="G512" s="6">
        <v>22302</v>
      </c>
      <c r="H512" s="23">
        <f>SALESTABLE[[#This Row],[Value]]*18%</f>
        <v>3402</v>
      </c>
      <c r="I512" s="23"/>
    </row>
    <row r="513" spans="1:9" x14ac:dyDescent="0.25">
      <c r="A513" s="9">
        <v>45821</v>
      </c>
      <c r="B513" t="s">
        <v>98</v>
      </c>
      <c r="C513" s="5" t="s">
        <v>8</v>
      </c>
      <c r="D513" s="18">
        <v>210</v>
      </c>
      <c r="E513" s="22">
        <v>100</v>
      </c>
      <c r="F513" s="6">
        <v>21000</v>
      </c>
      <c r="G513" s="6">
        <v>24780</v>
      </c>
      <c r="H513" s="23">
        <f>SALESTABLE[[#This Row],[Value]]*18%</f>
        <v>3780</v>
      </c>
      <c r="I513" s="23"/>
    </row>
    <row r="514" spans="1:9" hidden="1" x14ac:dyDescent="0.25">
      <c r="A514" s="9">
        <v>45822</v>
      </c>
      <c r="B514" s="4" t="s">
        <v>96</v>
      </c>
      <c r="C514" s="5" t="s">
        <v>8</v>
      </c>
      <c r="D514" s="18">
        <v>35</v>
      </c>
      <c r="E514" s="22">
        <v>125</v>
      </c>
      <c r="F514" s="6">
        <v>4375</v>
      </c>
      <c r="G514" s="6">
        <v>5163</v>
      </c>
      <c r="H514" s="23">
        <f>SALESTABLE[[#This Row],[Value]]*18%</f>
        <v>787.5</v>
      </c>
      <c r="I514" s="23"/>
    </row>
    <row r="515" spans="1:9" hidden="1" x14ac:dyDescent="0.25">
      <c r="A515" s="9">
        <v>45822</v>
      </c>
      <c r="B515" s="4" t="s">
        <v>96</v>
      </c>
      <c r="C515" s="5" t="s">
        <v>8</v>
      </c>
      <c r="D515" s="18">
        <v>26</v>
      </c>
      <c r="E515" s="22">
        <v>115</v>
      </c>
      <c r="F515" s="6">
        <v>24570</v>
      </c>
      <c r="G515" s="6">
        <v>28993</v>
      </c>
      <c r="H515" s="23">
        <f>SALESTABLE[[#This Row],[Value]]*18%</f>
        <v>4422.5999999999995</v>
      </c>
      <c r="I515" s="23"/>
    </row>
    <row r="516" spans="1:9" hidden="1" x14ac:dyDescent="0.25">
      <c r="A516" s="9">
        <v>45822</v>
      </c>
      <c r="B516" s="4" t="s">
        <v>18</v>
      </c>
      <c r="C516" s="5" t="s">
        <v>8</v>
      </c>
      <c r="D516" s="18">
        <v>35</v>
      </c>
      <c r="E516" s="22">
        <v>85</v>
      </c>
      <c r="F516" s="6">
        <v>2975</v>
      </c>
      <c r="G516" s="6">
        <v>3511</v>
      </c>
      <c r="H516" s="23">
        <f>SALESTABLE[[#This Row],[Value]]*18%</f>
        <v>535.5</v>
      </c>
      <c r="I516" s="23"/>
    </row>
    <row r="517" spans="1:9" hidden="1" x14ac:dyDescent="0.25">
      <c r="A517" s="9">
        <v>45822</v>
      </c>
      <c r="B517" s="4" t="s">
        <v>55</v>
      </c>
      <c r="C517" s="5" t="s">
        <v>8</v>
      </c>
      <c r="D517" s="18">
        <v>98</v>
      </c>
      <c r="E517" s="22">
        <v>108</v>
      </c>
      <c r="F517" s="6">
        <v>10584</v>
      </c>
      <c r="G517" s="6">
        <v>12489</v>
      </c>
      <c r="H517" s="23">
        <f>SALESTABLE[[#This Row],[Value]]*18%</f>
        <v>1905.12</v>
      </c>
      <c r="I517" s="23"/>
    </row>
    <row r="518" spans="1:9" x14ac:dyDescent="0.25">
      <c r="A518" s="9">
        <v>45822</v>
      </c>
      <c r="B518" t="s">
        <v>98</v>
      </c>
      <c r="C518" s="5" t="s">
        <v>8</v>
      </c>
      <c r="D518" s="18">
        <v>37</v>
      </c>
      <c r="E518" s="22">
        <v>124.32</v>
      </c>
      <c r="F518" s="6">
        <v>4600</v>
      </c>
      <c r="G518" s="6">
        <v>5428</v>
      </c>
      <c r="H518" s="23">
        <f>SALESTABLE[[#This Row],[Value]]*18%</f>
        <v>828</v>
      </c>
      <c r="I518" s="23"/>
    </row>
    <row r="519" spans="1:9" hidden="1" x14ac:dyDescent="0.25">
      <c r="A519" s="9">
        <v>45822</v>
      </c>
      <c r="B519" s="4" t="s">
        <v>95</v>
      </c>
      <c r="C519" s="5" t="s">
        <v>8</v>
      </c>
      <c r="D519" s="18">
        <v>85</v>
      </c>
      <c r="E519" s="22">
        <v>90.12</v>
      </c>
      <c r="F519" s="6">
        <v>7660</v>
      </c>
      <c r="G519" s="6">
        <v>9039</v>
      </c>
      <c r="H519" s="23">
        <f>SALESTABLE[[#This Row],[Value]]*18%</f>
        <v>1378.8</v>
      </c>
      <c r="I519" s="23"/>
    </row>
    <row r="520" spans="1:9" hidden="1" x14ac:dyDescent="0.25">
      <c r="A520" s="9">
        <v>45822</v>
      </c>
      <c r="B520" s="4" t="s">
        <v>53</v>
      </c>
      <c r="C520" s="5" t="s">
        <v>8</v>
      </c>
      <c r="D520" s="18">
        <v>25</v>
      </c>
      <c r="E520" s="22">
        <v>175</v>
      </c>
      <c r="F520" s="6">
        <v>4375</v>
      </c>
      <c r="G520" s="6">
        <v>5163</v>
      </c>
      <c r="H520" s="23">
        <f>SALESTABLE[[#This Row],[Value]]*18%</f>
        <v>787.5</v>
      </c>
      <c r="I520" s="23"/>
    </row>
    <row r="521" spans="1:9" hidden="1" x14ac:dyDescent="0.25">
      <c r="A521" s="9">
        <v>45822</v>
      </c>
      <c r="B521" s="4" t="s">
        <v>13</v>
      </c>
      <c r="C521" s="5" t="s">
        <v>8</v>
      </c>
      <c r="D521" s="18">
        <v>840</v>
      </c>
      <c r="E521" s="22">
        <v>63.5</v>
      </c>
      <c r="F521" s="6">
        <v>53340</v>
      </c>
      <c r="G521" s="6">
        <v>62941</v>
      </c>
      <c r="H521" s="23">
        <f>SALESTABLE[[#This Row],[Value]]*18%</f>
        <v>9601.1999999999989</v>
      </c>
      <c r="I521" s="23"/>
    </row>
    <row r="522" spans="1:9" x14ac:dyDescent="0.25">
      <c r="A522" s="9">
        <v>45822</v>
      </c>
      <c r="B522" t="s">
        <v>98</v>
      </c>
      <c r="C522" s="5" t="s">
        <v>8</v>
      </c>
      <c r="D522" s="18">
        <v>210</v>
      </c>
      <c r="E522" s="22">
        <v>62</v>
      </c>
      <c r="F522" s="6">
        <v>13020</v>
      </c>
      <c r="G522" s="6">
        <v>15364</v>
      </c>
      <c r="H522" s="23">
        <f>SALESTABLE[[#This Row],[Value]]*18%</f>
        <v>2343.6</v>
      </c>
      <c r="I522" s="23"/>
    </row>
    <row r="523" spans="1:9" x14ac:dyDescent="0.25">
      <c r="A523" s="9">
        <v>45822</v>
      </c>
      <c r="B523" t="s">
        <v>98</v>
      </c>
      <c r="C523" s="5" t="s">
        <v>8</v>
      </c>
      <c r="D523" s="18">
        <v>52</v>
      </c>
      <c r="E523" s="22">
        <v>135.5</v>
      </c>
      <c r="F523" s="6">
        <v>7046</v>
      </c>
      <c r="G523" s="6">
        <v>8314</v>
      </c>
      <c r="H523" s="23">
        <f>SALESTABLE[[#This Row],[Value]]*18%</f>
        <v>1268.28</v>
      </c>
      <c r="I523" s="23"/>
    </row>
    <row r="524" spans="1:9" hidden="1" x14ac:dyDescent="0.25">
      <c r="A524" s="9">
        <v>45822</v>
      </c>
      <c r="B524" s="4" t="s">
        <v>102</v>
      </c>
      <c r="C524" s="5" t="s">
        <v>8</v>
      </c>
      <c r="D524" s="18">
        <v>26</v>
      </c>
      <c r="E524" s="22">
        <v>80</v>
      </c>
      <c r="F524" s="6">
        <v>2080</v>
      </c>
      <c r="G524" s="6">
        <v>2454</v>
      </c>
      <c r="H524" s="23">
        <f>SALESTABLE[[#This Row],[Value]]*18%</f>
        <v>374.4</v>
      </c>
      <c r="I524" s="23"/>
    </row>
    <row r="525" spans="1:9" hidden="1" x14ac:dyDescent="0.25">
      <c r="A525" s="9">
        <v>45822</v>
      </c>
      <c r="B525" s="4" t="s">
        <v>51</v>
      </c>
      <c r="C525" s="5" t="s">
        <v>8</v>
      </c>
      <c r="D525" s="18">
        <v>24</v>
      </c>
      <c r="E525" s="22">
        <v>160</v>
      </c>
      <c r="F525" s="6">
        <v>3840</v>
      </c>
      <c r="G525" s="6">
        <v>4531</v>
      </c>
      <c r="H525" s="23">
        <f>SALESTABLE[[#This Row],[Value]]*18%</f>
        <v>691.19999999999993</v>
      </c>
      <c r="I525" s="23"/>
    </row>
    <row r="526" spans="1:9" x14ac:dyDescent="0.25">
      <c r="A526" s="9">
        <v>45823</v>
      </c>
      <c r="B526" t="s">
        <v>98</v>
      </c>
      <c r="C526" s="5" t="s">
        <v>8</v>
      </c>
      <c r="D526" s="18">
        <v>5</v>
      </c>
      <c r="E526" s="22">
        <v>190</v>
      </c>
      <c r="F526" s="6">
        <v>950</v>
      </c>
      <c r="G526" s="6">
        <v>1121</v>
      </c>
      <c r="H526" s="23">
        <f>SALESTABLE[[#This Row],[Value]]*18%</f>
        <v>171</v>
      </c>
      <c r="I526" s="23"/>
    </row>
    <row r="527" spans="1:9" hidden="1" x14ac:dyDescent="0.25">
      <c r="A527" s="9">
        <v>45823</v>
      </c>
      <c r="B527" s="4" t="s">
        <v>94</v>
      </c>
      <c r="C527" s="5" t="s">
        <v>8</v>
      </c>
      <c r="D527" s="18">
        <v>78</v>
      </c>
      <c r="E527" s="22">
        <v>105</v>
      </c>
      <c r="F527" s="6">
        <v>8190</v>
      </c>
      <c r="G527" s="6">
        <v>9664</v>
      </c>
      <c r="H527" s="23">
        <f>SALESTABLE[[#This Row],[Value]]*18%</f>
        <v>1474.2</v>
      </c>
      <c r="I527" s="23"/>
    </row>
    <row r="528" spans="1:9" x14ac:dyDescent="0.25">
      <c r="A528" s="9">
        <v>45823</v>
      </c>
      <c r="B528" t="s">
        <v>98</v>
      </c>
      <c r="C528" s="5" t="s">
        <v>8</v>
      </c>
      <c r="D528" s="18">
        <v>210</v>
      </c>
      <c r="E528" s="22">
        <v>90</v>
      </c>
      <c r="F528" s="6">
        <v>18900</v>
      </c>
      <c r="G528" s="6">
        <v>22302</v>
      </c>
      <c r="H528" s="23">
        <f>SALESTABLE[[#This Row],[Value]]*18%</f>
        <v>3402</v>
      </c>
      <c r="I528" s="23"/>
    </row>
    <row r="529" spans="1:9" hidden="1" x14ac:dyDescent="0.25">
      <c r="A529" s="9">
        <v>45823</v>
      </c>
      <c r="B529" s="4" t="s">
        <v>94</v>
      </c>
      <c r="C529" s="5" t="s">
        <v>8</v>
      </c>
      <c r="D529" s="18">
        <v>130</v>
      </c>
      <c r="E529" s="22">
        <v>95</v>
      </c>
      <c r="F529" s="6">
        <v>12350</v>
      </c>
      <c r="G529" s="6">
        <v>14573</v>
      </c>
      <c r="H529" s="23">
        <f>SALESTABLE[[#This Row],[Value]]*18%</f>
        <v>2223</v>
      </c>
      <c r="I529" s="23"/>
    </row>
    <row r="530" spans="1:9" hidden="1" x14ac:dyDescent="0.25">
      <c r="A530" s="9">
        <v>45823</v>
      </c>
      <c r="B530" s="4" t="s">
        <v>17</v>
      </c>
      <c r="C530" s="5" t="s">
        <v>8</v>
      </c>
      <c r="D530" s="18">
        <v>5</v>
      </c>
      <c r="E530" s="22">
        <v>175</v>
      </c>
      <c r="F530" s="6">
        <v>875</v>
      </c>
      <c r="G530" s="6">
        <v>1033</v>
      </c>
      <c r="H530" s="23">
        <f>SALESTABLE[[#This Row],[Value]]*18%</f>
        <v>157.5</v>
      </c>
      <c r="I530" s="23"/>
    </row>
    <row r="531" spans="1:9" hidden="1" x14ac:dyDescent="0.25">
      <c r="A531" s="9">
        <v>45824</v>
      </c>
      <c r="B531" s="4" t="s">
        <v>67</v>
      </c>
      <c r="C531" s="5" t="s">
        <v>8</v>
      </c>
      <c r="D531" s="18">
        <v>52</v>
      </c>
      <c r="E531" s="22">
        <v>125</v>
      </c>
      <c r="F531" s="6">
        <v>6500</v>
      </c>
      <c r="G531" s="6">
        <v>7670</v>
      </c>
      <c r="H531" s="23">
        <f>SALESTABLE[[#This Row],[Value]]*18%</f>
        <v>1170</v>
      </c>
      <c r="I531" s="23"/>
    </row>
    <row r="532" spans="1:9" hidden="1" x14ac:dyDescent="0.25">
      <c r="A532" s="9">
        <v>45824</v>
      </c>
      <c r="B532" s="4" t="s">
        <v>72</v>
      </c>
      <c r="C532" s="5" t="s">
        <v>8</v>
      </c>
      <c r="D532" s="18">
        <v>156</v>
      </c>
      <c r="E532" s="22">
        <v>147.5</v>
      </c>
      <c r="F532" s="6">
        <v>23010</v>
      </c>
      <c r="G532" s="6">
        <v>27152</v>
      </c>
      <c r="H532" s="23">
        <f>SALESTABLE[[#This Row],[Value]]*18%</f>
        <v>4141.8</v>
      </c>
      <c r="I532" s="23"/>
    </row>
    <row r="533" spans="1:9" x14ac:dyDescent="0.25">
      <c r="A533" s="9">
        <v>45824</v>
      </c>
      <c r="B533" t="s">
        <v>98</v>
      </c>
      <c r="C533" s="5" t="s">
        <v>8</v>
      </c>
      <c r="D533" s="18">
        <v>3</v>
      </c>
      <c r="E533" s="22">
        <v>200</v>
      </c>
      <c r="F533" s="6">
        <v>600</v>
      </c>
      <c r="G533" s="6">
        <v>708</v>
      </c>
      <c r="H533" s="23">
        <f>SALESTABLE[[#This Row],[Value]]*18%</f>
        <v>108</v>
      </c>
      <c r="I533" s="23"/>
    </row>
    <row r="534" spans="1:9" x14ac:dyDescent="0.25">
      <c r="A534" s="9">
        <v>45824</v>
      </c>
      <c r="B534" t="s">
        <v>98</v>
      </c>
      <c r="C534" s="5" t="s">
        <v>8</v>
      </c>
      <c r="D534" s="18">
        <v>5</v>
      </c>
      <c r="E534" s="22">
        <v>160</v>
      </c>
      <c r="F534" s="6">
        <v>800</v>
      </c>
      <c r="G534" s="6">
        <v>944</v>
      </c>
      <c r="H534" s="23">
        <f>SALESTABLE[[#This Row],[Value]]*18%</f>
        <v>144</v>
      </c>
      <c r="I534" s="23"/>
    </row>
    <row r="535" spans="1:9" hidden="1" x14ac:dyDescent="0.25">
      <c r="A535" s="9">
        <v>45824</v>
      </c>
      <c r="B535" s="4" t="s">
        <v>30</v>
      </c>
      <c r="C535" s="5" t="s">
        <v>8</v>
      </c>
      <c r="D535" s="18">
        <v>25</v>
      </c>
      <c r="E535" s="22">
        <v>120</v>
      </c>
      <c r="F535" s="6">
        <v>3000</v>
      </c>
      <c r="G535" s="6">
        <v>3540</v>
      </c>
      <c r="H535" s="23">
        <f>SALESTABLE[[#This Row],[Value]]*18%</f>
        <v>540</v>
      </c>
      <c r="I535" s="23"/>
    </row>
    <row r="536" spans="1:9" hidden="1" x14ac:dyDescent="0.25">
      <c r="A536" s="9">
        <v>45824</v>
      </c>
      <c r="B536" s="4" t="s">
        <v>16</v>
      </c>
      <c r="C536" s="5" t="s">
        <v>8</v>
      </c>
      <c r="D536" s="18">
        <v>100</v>
      </c>
      <c r="E536" s="22">
        <v>335</v>
      </c>
      <c r="F536" s="6">
        <v>33500</v>
      </c>
      <c r="G536" s="6">
        <v>39530</v>
      </c>
      <c r="H536" s="23">
        <f>SALESTABLE[[#This Row],[Value]]*18%</f>
        <v>6030</v>
      </c>
      <c r="I536" s="23"/>
    </row>
    <row r="537" spans="1:9" hidden="1" x14ac:dyDescent="0.25">
      <c r="A537" s="9">
        <v>45825</v>
      </c>
      <c r="B537" s="4" t="s">
        <v>28</v>
      </c>
      <c r="C537" s="5" t="s">
        <v>8</v>
      </c>
      <c r="D537" s="18">
        <v>210</v>
      </c>
      <c r="E537" s="22">
        <v>110</v>
      </c>
      <c r="F537" s="6">
        <v>23100</v>
      </c>
      <c r="G537" s="6">
        <v>27258</v>
      </c>
      <c r="H537" s="23">
        <f>SALESTABLE[[#This Row],[Value]]*18%</f>
        <v>4158</v>
      </c>
      <c r="I537" s="23"/>
    </row>
    <row r="538" spans="1:9" hidden="1" x14ac:dyDescent="0.25">
      <c r="A538" s="9">
        <v>45825</v>
      </c>
      <c r="B538" s="4" t="s">
        <v>93</v>
      </c>
      <c r="C538" s="5" t="s">
        <v>8</v>
      </c>
      <c r="D538" s="18">
        <v>26</v>
      </c>
      <c r="E538" s="22">
        <v>102</v>
      </c>
      <c r="F538" s="6">
        <v>2652</v>
      </c>
      <c r="G538" s="6">
        <v>3129</v>
      </c>
      <c r="H538" s="23">
        <f>SALESTABLE[[#This Row],[Value]]*18%</f>
        <v>477.35999999999996</v>
      </c>
      <c r="I538" s="23"/>
    </row>
    <row r="539" spans="1:9" hidden="1" x14ac:dyDescent="0.25">
      <c r="A539" s="9">
        <v>45825</v>
      </c>
      <c r="B539" s="4" t="s">
        <v>95</v>
      </c>
      <c r="C539" s="5" t="s">
        <v>8</v>
      </c>
      <c r="D539" s="18">
        <v>1050</v>
      </c>
      <c r="E539" s="22">
        <v>54.5</v>
      </c>
      <c r="F539" s="6">
        <v>57225</v>
      </c>
      <c r="G539" s="6">
        <v>67526</v>
      </c>
      <c r="H539" s="23">
        <f>SALESTABLE[[#This Row],[Value]]*18%</f>
        <v>10300.5</v>
      </c>
      <c r="I539" s="23"/>
    </row>
    <row r="540" spans="1:9" hidden="1" x14ac:dyDescent="0.25">
      <c r="A540" s="9">
        <v>45825</v>
      </c>
      <c r="B540" s="4" t="s">
        <v>17</v>
      </c>
      <c r="C540" s="5" t="s">
        <v>8</v>
      </c>
      <c r="D540" s="18">
        <v>26</v>
      </c>
      <c r="E540" s="22">
        <v>115</v>
      </c>
      <c r="F540" s="6">
        <v>7750</v>
      </c>
      <c r="G540" s="6">
        <v>9145</v>
      </c>
      <c r="H540" s="23">
        <f>SALESTABLE[[#This Row],[Value]]*18%</f>
        <v>1395</v>
      </c>
      <c r="I540" s="23"/>
    </row>
    <row r="541" spans="1:9" x14ac:dyDescent="0.25">
      <c r="A541" s="9">
        <v>45825</v>
      </c>
      <c r="B541" t="s">
        <v>98</v>
      </c>
      <c r="C541" s="5" t="s">
        <v>8</v>
      </c>
      <c r="D541" s="18">
        <v>2</v>
      </c>
      <c r="E541" s="22">
        <v>299</v>
      </c>
      <c r="F541" s="6">
        <v>598</v>
      </c>
      <c r="G541" s="6">
        <v>706</v>
      </c>
      <c r="H541" s="23">
        <f>SALESTABLE[[#This Row],[Value]]*18%</f>
        <v>107.64</v>
      </c>
      <c r="I541" s="23"/>
    </row>
    <row r="542" spans="1:9" x14ac:dyDescent="0.25">
      <c r="A542" s="9">
        <v>45825</v>
      </c>
      <c r="B542" t="s">
        <v>98</v>
      </c>
      <c r="C542" s="5" t="s">
        <v>8</v>
      </c>
      <c r="D542" s="18">
        <v>25</v>
      </c>
      <c r="E542" s="22">
        <v>80</v>
      </c>
      <c r="F542" s="6">
        <v>2000</v>
      </c>
      <c r="G542" s="6">
        <v>2360</v>
      </c>
      <c r="H542" s="23">
        <f>SALESTABLE[[#This Row],[Value]]*18%</f>
        <v>360</v>
      </c>
      <c r="I542" s="23"/>
    </row>
    <row r="543" spans="1:9" hidden="1" x14ac:dyDescent="0.25">
      <c r="A543" s="9">
        <v>45825</v>
      </c>
      <c r="B543" s="4" t="s">
        <v>38</v>
      </c>
      <c r="C543" s="5" t="s">
        <v>8</v>
      </c>
      <c r="D543" s="18">
        <v>50</v>
      </c>
      <c r="E543" s="22">
        <v>50</v>
      </c>
      <c r="F543" s="6">
        <v>2500</v>
      </c>
      <c r="G543" s="6">
        <v>2625</v>
      </c>
      <c r="H543" s="23">
        <f>SALESTABLE[[#This Row],[Value]]*18%</f>
        <v>450</v>
      </c>
      <c r="I543" s="23"/>
    </row>
    <row r="544" spans="1:9" x14ac:dyDescent="0.25">
      <c r="A544" s="9">
        <v>45825</v>
      </c>
      <c r="B544" t="s">
        <v>98</v>
      </c>
      <c r="C544" s="5" t="s">
        <v>8</v>
      </c>
      <c r="D544" s="18">
        <v>840</v>
      </c>
      <c r="E544" s="22">
        <v>80</v>
      </c>
      <c r="F544" s="6">
        <v>67200</v>
      </c>
      <c r="G544" s="6">
        <v>79296</v>
      </c>
      <c r="H544" s="23">
        <f>SALESTABLE[[#This Row],[Value]]*18%</f>
        <v>12096</v>
      </c>
      <c r="I544" s="23"/>
    </row>
    <row r="545" spans="1:9" hidden="1" x14ac:dyDescent="0.25">
      <c r="A545" s="9">
        <v>45825</v>
      </c>
      <c r="B545" s="4" t="s">
        <v>81</v>
      </c>
      <c r="C545" s="5" t="s">
        <v>8</v>
      </c>
      <c r="D545" s="18">
        <v>62</v>
      </c>
      <c r="E545" s="22">
        <v>103.06</v>
      </c>
      <c r="F545" s="6">
        <v>6390</v>
      </c>
      <c r="G545" s="6">
        <v>7540</v>
      </c>
      <c r="H545" s="23">
        <f>SALESTABLE[[#This Row],[Value]]*18%</f>
        <v>1150.2</v>
      </c>
      <c r="I545" s="23"/>
    </row>
    <row r="546" spans="1:9" hidden="1" x14ac:dyDescent="0.25">
      <c r="A546" s="9">
        <v>45826</v>
      </c>
      <c r="B546" s="4" t="s">
        <v>94</v>
      </c>
      <c r="C546" s="5" t="s">
        <v>8</v>
      </c>
      <c r="D546" s="18">
        <v>78</v>
      </c>
      <c r="E546" s="22">
        <v>120</v>
      </c>
      <c r="F546" s="6">
        <v>9360</v>
      </c>
      <c r="G546" s="6">
        <v>11045</v>
      </c>
      <c r="H546" s="23">
        <f>SALESTABLE[[#This Row],[Value]]*18%</f>
        <v>1684.8</v>
      </c>
      <c r="I546" s="23"/>
    </row>
    <row r="547" spans="1:9" hidden="1" x14ac:dyDescent="0.25">
      <c r="A547" s="9">
        <v>45826</v>
      </c>
      <c r="B547" s="4" t="s">
        <v>80</v>
      </c>
      <c r="C547" s="5" t="s">
        <v>8</v>
      </c>
      <c r="D547" s="18">
        <v>26</v>
      </c>
      <c r="E547" s="22">
        <v>115</v>
      </c>
      <c r="F547" s="6">
        <v>44150</v>
      </c>
      <c r="G547" s="6">
        <v>52097</v>
      </c>
      <c r="H547" s="23">
        <f>SALESTABLE[[#This Row],[Value]]*18%</f>
        <v>7947</v>
      </c>
      <c r="I547" s="23"/>
    </row>
    <row r="548" spans="1:9" hidden="1" x14ac:dyDescent="0.25">
      <c r="A548" s="9">
        <v>45826</v>
      </c>
      <c r="B548" s="4" t="s">
        <v>94</v>
      </c>
      <c r="C548" s="5" t="s">
        <v>8</v>
      </c>
      <c r="D548" s="18">
        <v>2</v>
      </c>
      <c r="E548" s="22">
        <v>816.75</v>
      </c>
      <c r="F548" s="6">
        <v>1633.5</v>
      </c>
      <c r="G548" s="6">
        <v>1928</v>
      </c>
      <c r="H548" s="23">
        <f>SALESTABLE[[#This Row],[Value]]*18%</f>
        <v>294.02999999999997</v>
      </c>
      <c r="I548" s="23"/>
    </row>
    <row r="549" spans="1:9" x14ac:dyDescent="0.25">
      <c r="A549" s="9">
        <v>45826</v>
      </c>
      <c r="B549" t="s">
        <v>98</v>
      </c>
      <c r="C549" s="5" t="s">
        <v>8</v>
      </c>
      <c r="D549" s="18">
        <v>6</v>
      </c>
      <c r="E549" s="22">
        <v>304.8</v>
      </c>
      <c r="F549" s="6">
        <v>1828.8</v>
      </c>
      <c r="G549" s="6">
        <v>2158</v>
      </c>
      <c r="H549" s="23">
        <f>SALESTABLE[[#This Row],[Value]]*18%</f>
        <v>329.18399999999997</v>
      </c>
      <c r="I549" s="23"/>
    </row>
    <row r="550" spans="1:9" x14ac:dyDescent="0.25">
      <c r="A550" s="9">
        <v>45826</v>
      </c>
      <c r="B550" t="s">
        <v>98</v>
      </c>
      <c r="C550" s="5" t="s">
        <v>8</v>
      </c>
      <c r="D550" s="18">
        <v>150</v>
      </c>
      <c r="E550" s="22">
        <v>270</v>
      </c>
      <c r="F550" s="6">
        <v>40500</v>
      </c>
      <c r="G550" s="6">
        <v>47790</v>
      </c>
      <c r="H550" s="23">
        <f>SALESTABLE[[#This Row],[Value]]*18%</f>
        <v>7290</v>
      </c>
      <c r="I550" s="23"/>
    </row>
    <row r="551" spans="1:9" x14ac:dyDescent="0.25">
      <c r="A551" s="9">
        <v>45828</v>
      </c>
      <c r="B551" t="s">
        <v>98</v>
      </c>
      <c r="C551" s="5" t="s">
        <v>8</v>
      </c>
      <c r="D551" s="18">
        <v>425</v>
      </c>
      <c r="E551" s="22">
        <v>123.41</v>
      </c>
      <c r="F551" s="6">
        <v>52450</v>
      </c>
      <c r="G551" s="6">
        <v>61891</v>
      </c>
      <c r="H551" s="23">
        <f>SALESTABLE[[#This Row],[Value]]*18%</f>
        <v>9441</v>
      </c>
      <c r="I551" s="23"/>
    </row>
    <row r="552" spans="1:9" hidden="1" x14ac:dyDescent="0.25">
      <c r="A552" s="9">
        <v>45828</v>
      </c>
      <c r="B552" s="4" t="s">
        <v>86</v>
      </c>
      <c r="C552" s="5" t="s">
        <v>8</v>
      </c>
      <c r="D552" s="18">
        <v>420</v>
      </c>
      <c r="E552" s="22">
        <v>76</v>
      </c>
      <c r="F552" s="6">
        <v>31920</v>
      </c>
      <c r="G552" s="6">
        <v>37666</v>
      </c>
      <c r="H552" s="23">
        <f>SALESTABLE[[#This Row],[Value]]*18%</f>
        <v>5745.5999999999995</v>
      </c>
      <c r="I552" s="23"/>
    </row>
    <row r="553" spans="1:9" x14ac:dyDescent="0.25">
      <c r="A553" s="9">
        <v>45828</v>
      </c>
      <c r="B553" t="s">
        <v>98</v>
      </c>
      <c r="C553" s="5" t="s">
        <v>8</v>
      </c>
      <c r="D553" s="18">
        <v>52</v>
      </c>
      <c r="E553" s="22">
        <v>115</v>
      </c>
      <c r="F553" s="6">
        <v>5980</v>
      </c>
      <c r="G553" s="6">
        <v>7056</v>
      </c>
      <c r="H553" s="23">
        <f>SALESTABLE[[#This Row],[Value]]*18%</f>
        <v>1076.3999999999999</v>
      </c>
      <c r="I553" s="23"/>
    </row>
    <row r="554" spans="1:9" hidden="1" x14ac:dyDescent="0.25">
      <c r="A554" s="9">
        <v>45828</v>
      </c>
      <c r="B554" s="4" t="s">
        <v>11</v>
      </c>
      <c r="C554" s="5" t="s">
        <v>8</v>
      </c>
      <c r="D554" s="18">
        <v>70</v>
      </c>
      <c r="E554" s="22">
        <v>70</v>
      </c>
      <c r="F554" s="6">
        <v>4900</v>
      </c>
      <c r="G554" s="6">
        <v>5782</v>
      </c>
      <c r="H554" s="23">
        <f>SALESTABLE[[#This Row],[Value]]*18%</f>
        <v>882</v>
      </c>
      <c r="I554" s="23"/>
    </row>
    <row r="555" spans="1:9" x14ac:dyDescent="0.25">
      <c r="A555" s="9">
        <v>45828</v>
      </c>
      <c r="B555" t="s">
        <v>98</v>
      </c>
      <c r="C555" s="5" t="s">
        <v>8</v>
      </c>
      <c r="D555" s="18">
        <v>10</v>
      </c>
      <c r="E555" s="22">
        <v>60</v>
      </c>
      <c r="F555" s="6">
        <v>600</v>
      </c>
      <c r="G555" s="6">
        <v>630</v>
      </c>
      <c r="H555" s="23">
        <f>SALESTABLE[[#This Row],[Value]]*18%</f>
        <v>108</v>
      </c>
      <c r="I555" s="23"/>
    </row>
    <row r="556" spans="1:9" hidden="1" x14ac:dyDescent="0.25">
      <c r="A556" s="9">
        <v>45828</v>
      </c>
      <c r="B556" s="4" t="s">
        <v>14</v>
      </c>
      <c r="C556" s="5" t="s">
        <v>8</v>
      </c>
      <c r="D556" s="18">
        <v>52</v>
      </c>
      <c r="E556" s="22">
        <v>108</v>
      </c>
      <c r="F556" s="6">
        <v>5616</v>
      </c>
      <c r="G556" s="6">
        <v>6627</v>
      </c>
      <c r="H556" s="23">
        <f>SALESTABLE[[#This Row],[Value]]*18%</f>
        <v>1010.88</v>
      </c>
      <c r="I556" s="23"/>
    </row>
    <row r="557" spans="1:9" hidden="1" x14ac:dyDescent="0.25">
      <c r="A557" s="9">
        <v>45828</v>
      </c>
      <c r="B557" s="4" t="s">
        <v>94</v>
      </c>
      <c r="C557" s="5" t="s">
        <v>8</v>
      </c>
      <c r="D557" s="18">
        <v>630</v>
      </c>
      <c r="E557" s="22">
        <v>75</v>
      </c>
      <c r="F557" s="6">
        <v>47250</v>
      </c>
      <c r="G557" s="6">
        <v>55755</v>
      </c>
      <c r="H557" s="23">
        <f>SALESTABLE[[#This Row],[Value]]*18%</f>
        <v>8505</v>
      </c>
      <c r="I557" s="23"/>
    </row>
    <row r="558" spans="1:9" hidden="1" x14ac:dyDescent="0.25">
      <c r="A558" s="9">
        <v>45828</v>
      </c>
      <c r="B558" s="4" t="s">
        <v>85</v>
      </c>
      <c r="C558" s="5" t="s">
        <v>8</v>
      </c>
      <c r="D558" s="18">
        <v>5</v>
      </c>
      <c r="E558" s="22">
        <v>60</v>
      </c>
      <c r="F558" s="6">
        <v>300</v>
      </c>
      <c r="G558" s="6">
        <v>315</v>
      </c>
      <c r="H558" s="23">
        <f>SALESTABLE[[#This Row],[Value]]*18%</f>
        <v>54</v>
      </c>
      <c r="I558" s="23"/>
    </row>
    <row r="559" spans="1:9" hidden="1" x14ac:dyDescent="0.25">
      <c r="A559" s="9">
        <v>45828</v>
      </c>
      <c r="B559" s="4" t="s">
        <v>94</v>
      </c>
      <c r="C559" s="5" t="s">
        <v>8</v>
      </c>
      <c r="D559" s="18">
        <v>210</v>
      </c>
      <c r="E559" s="22">
        <v>86</v>
      </c>
      <c r="F559" s="6">
        <v>18060</v>
      </c>
      <c r="G559" s="6">
        <v>21311</v>
      </c>
      <c r="H559" s="23">
        <f>SALESTABLE[[#This Row],[Value]]*18%</f>
        <v>3250.7999999999997</v>
      </c>
      <c r="I559" s="23"/>
    </row>
    <row r="560" spans="1:9" hidden="1" x14ac:dyDescent="0.25">
      <c r="A560" s="9">
        <v>45828</v>
      </c>
      <c r="B560" s="4" t="s">
        <v>96</v>
      </c>
      <c r="C560" s="5" t="s">
        <v>8</v>
      </c>
      <c r="D560" s="18">
        <v>96</v>
      </c>
      <c r="E560" s="22">
        <v>105.27</v>
      </c>
      <c r="F560" s="6">
        <v>10106</v>
      </c>
      <c r="G560" s="6">
        <v>11925</v>
      </c>
      <c r="H560" s="23">
        <f>SALESTABLE[[#This Row],[Value]]*18%</f>
        <v>1819.08</v>
      </c>
      <c r="I560" s="23"/>
    </row>
    <row r="561" spans="1:9" hidden="1" x14ac:dyDescent="0.25">
      <c r="A561" s="9">
        <v>45829</v>
      </c>
      <c r="B561" s="4" t="s">
        <v>26</v>
      </c>
      <c r="C561" s="5" t="s">
        <v>8</v>
      </c>
      <c r="D561" s="18">
        <v>135</v>
      </c>
      <c r="E561" s="22">
        <v>138.06</v>
      </c>
      <c r="F561" s="6">
        <v>18638</v>
      </c>
      <c r="G561" s="6">
        <v>21993</v>
      </c>
      <c r="H561" s="23">
        <f>SALESTABLE[[#This Row],[Value]]*18%</f>
        <v>3354.8399999999997</v>
      </c>
      <c r="I561" s="23"/>
    </row>
    <row r="562" spans="1:9" hidden="1" x14ac:dyDescent="0.25">
      <c r="A562" s="9">
        <v>45829</v>
      </c>
      <c r="B562" s="4" t="s">
        <v>96</v>
      </c>
      <c r="C562" s="5" t="s">
        <v>8</v>
      </c>
      <c r="D562" s="18">
        <v>52</v>
      </c>
      <c r="E562" s="22">
        <v>125</v>
      </c>
      <c r="F562" s="6">
        <v>6500</v>
      </c>
      <c r="G562" s="6">
        <v>7670</v>
      </c>
      <c r="H562" s="23">
        <f>SALESTABLE[[#This Row],[Value]]*18%</f>
        <v>1170</v>
      </c>
      <c r="I562" s="23"/>
    </row>
    <row r="563" spans="1:9" x14ac:dyDescent="0.25">
      <c r="A563" s="9">
        <v>45829</v>
      </c>
      <c r="B563" t="s">
        <v>98</v>
      </c>
      <c r="C563" s="5" t="s">
        <v>8</v>
      </c>
      <c r="D563" s="18">
        <v>5</v>
      </c>
      <c r="E563" s="22">
        <v>115</v>
      </c>
      <c r="F563" s="6">
        <v>575</v>
      </c>
      <c r="G563" s="6">
        <v>679</v>
      </c>
      <c r="H563" s="23">
        <f>SALESTABLE[[#This Row],[Value]]*18%</f>
        <v>103.5</v>
      </c>
      <c r="I563" s="23"/>
    </row>
    <row r="564" spans="1:9" x14ac:dyDescent="0.25">
      <c r="A564" s="9">
        <v>45829</v>
      </c>
      <c r="B564" t="s">
        <v>98</v>
      </c>
      <c r="C564" s="5" t="s">
        <v>8</v>
      </c>
      <c r="D564" s="18">
        <v>1050</v>
      </c>
      <c r="E564" s="22">
        <v>71</v>
      </c>
      <c r="F564" s="6">
        <v>74550</v>
      </c>
      <c r="G564" s="6">
        <v>87969</v>
      </c>
      <c r="H564" s="23">
        <f>SALESTABLE[[#This Row],[Value]]*18%</f>
        <v>13419</v>
      </c>
      <c r="I564" s="23"/>
    </row>
    <row r="565" spans="1:9" hidden="1" x14ac:dyDescent="0.25">
      <c r="A565" s="9">
        <v>45829</v>
      </c>
      <c r="B565" s="4" t="s">
        <v>45</v>
      </c>
      <c r="C565" s="5" t="s">
        <v>8</v>
      </c>
      <c r="D565" s="18">
        <v>40</v>
      </c>
      <c r="E565" s="22">
        <v>120</v>
      </c>
      <c r="F565" s="6">
        <v>4800</v>
      </c>
      <c r="G565" s="6">
        <v>5664</v>
      </c>
      <c r="H565" s="23">
        <f>SALESTABLE[[#This Row],[Value]]*18%</f>
        <v>864</v>
      </c>
      <c r="I565" s="23"/>
    </row>
    <row r="566" spans="1:9" hidden="1" x14ac:dyDescent="0.25">
      <c r="A566" s="9">
        <v>45829</v>
      </c>
      <c r="B566" s="4" t="s">
        <v>39</v>
      </c>
      <c r="C566" s="5" t="s">
        <v>8</v>
      </c>
      <c r="D566" s="18">
        <v>25</v>
      </c>
      <c r="E566" s="22">
        <v>90</v>
      </c>
      <c r="F566" s="6">
        <v>2250</v>
      </c>
      <c r="G566" s="6">
        <v>2655</v>
      </c>
      <c r="H566" s="23">
        <f>SALESTABLE[[#This Row],[Value]]*18%</f>
        <v>405</v>
      </c>
      <c r="I566" s="23"/>
    </row>
    <row r="567" spans="1:9" hidden="1" x14ac:dyDescent="0.25">
      <c r="A567" s="9">
        <v>45829</v>
      </c>
      <c r="B567" s="4" t="s">
        <v>39</v>
      </c>
      <c r="C567" s="5" t="s">
        <v>8</v>
      </c>
      <c r="D567" s="18">
        <v>25</v>
      </c>
      <c r="E567" s="22">
        <v>90</v>
      </c>
      <c r="F567" s="6">
        <v>2250</v>
      </c>
      <c r="G567" s="6">
        <v>2655</v>
      </c>
      <c r="H567" s="23">
        <f>SALESTABLE[[#This Row],[Value]]*18%</f>
        <v>405</v>
      </c>
      <c r="I567" s="23"/>
    </row>
    <row r="568" spans="1:9" hidden="1" x14ac:dyDescent="0.25">
      <c r="A568" s="9">
        <v>45829</v>
      </c>
      <c r="B568" s="4" t="s">
        <v>47</v>
      </c>
      <c r="C568" s="5" t="s">
        <v>8</v>
      </c>
      <c r="D568" s="18">
        <v>1570</v>
      </c>
      <c r="E568" s="22">
        <v>102.04</v>
      </c>
      <c r="F568" s="6">
        <v>160200</v>
      </c>
      <c r="G568" s="6">
        <v>189036</v>
      </c>
      <c r="H568" s="23">
        <f>SALESTABLE[[#This Row],[Value]]*18%</f>
        <v>28836</v>
      </c>
      <c r="I568" s="23"/>
    </row>
    <row r="569" spans="1:9" hidden="1" x14ac:dyDescent="0.25">
      <c r="A569" s="9">
        <v>45829</v>
      </c>
      <c r="B569" s="4" t="s">
        <v>95</v>
      </c>
      <c r="C569" s="5" t="s">
        <v>8</v>
      </c>
      <c r="D569" s="18">
        <v>10</v>
      </c>
      <c r="E569" s="22">
        <v>125</v>
      </c>
      <c r="F569" s="6">
        <v>1250</v>
      </c>
      <c r="G569" s="6">
        <v>1475</v>
      </c>
      <c r="H569" s="23">
        <f>SALESTABLE[[#This Row],[Value]]*18%</f>
        <v>225</v>
      </c>
      <c r="I569" s="23"/>
    </row>
    <row r="570" spans="1:9" hidden="1" x14ac:dyDescent="0.25">
      <c r="A570" s="9">
        <v>45829</v>
      </c>
      <c r="B570" s="4" t="s">
        <v>94</v>
      </c>
      <c r="C570" s="5" t="s">
        <v>8</v>
      </c>
      <c r="D570" s="18">
        <v>35</v>
      </c>
      <c r="E570" s="22">
        <v>90</v>
      </c>
      <c r="F570" s="6">
        <v>3150</v>
      </c>
      <c r="G570" s="6">
        <v>3717</v>
      </c>
      <c r="H570" s="23">
        <f>SALESTABLE[[#This Row],[Value]]*18%</f>
        <v>567</v>
      </c>
      <c r="I570" s="23"/>
    </row>
    <row r="571" spans="1:9" hidden="1" x14ac:dyDescent="0.25">
      <c r="A571" s="9">
        <v>45830</v>
      </c>
      <c r="B571" s="4" t="s">
        <v>95</v>
      </c>
      <c r="C571" s="5" t="s">
        <v>8</v>
      </c>
      <c r="D571" s="18">
        <v>220</v>
      </c>
      <c r="E571" s="22">
        <v>55</v>
      </c>
      <c r="F571" s="6">
        <v>12100</v>
      </c>
      <c r="G571" s="6">
        <v>14278</v>
      </c>
      <c r="H571" s="23">
        <f>SALESTABLE[[#This Row],[Value]]*18%</f>
        <v>2178</v>
      </c>
      <c r="I571" s="23"/>
    </row>
    <row r="572" spans="1:9" hidden="1" x14ac:dyDescent="0.25">
      <c r="A572" s="9">
        <v>45830</v>
      </c>
      <c r="B572" s="4" t="s">
        <v>42</v>
      </c>
      <c r="C572" s="5" t="s">
        <v>8</v>
      </c>
      <c r="D572" s="18">
        <v>366</v>
      </c>
      <c r="E572" s="22">
        <v>109.18</v>
      </c>
      <c r="F572" s="6">
        <v>39960</v>
      </c>
      <c r="G572" s="6">
        <v>47153</v>
      </c>
      <c r="H572" s="23">
        <f>SALESTABLE[[#This Row],[Value]]*18%</f>
        <v>7192.8</v>
      </c>
      <c r="I572" s="23"/>
    </row>
    <row r="573" spans="1:9" hidden="1" x14ac:dyDescent="0.25">
      <c r="A573" s="9">
        <v>45830</v>
      </c>
      <c r="B573" s="4" t="s">
        <v>86</v>
      </c>
      <c r="C573" s="5" t="s">
        <v>8</v>
      </c>
      <c r="D573" s="18">
        <v>210</v>
      </c>
      <c r="E573" s="22">
        <v>76</v>
      </c>
      <c r="F573" s="6">
        <v>15960</v>
      </c>
      <c r="G573" s="6">
        <v>18833</v>
      </c>
      <c r="H573" s="23">
        <f>SALESTABLE[[#This Row],[Value]]*18%</f>
        <v>2872.7999999999997</v>
      </c>
      <c r="I573" s="23"/>
    </row>
    <row r="574" spans="1:9" hidden="1" x14ac:dyDescent="0.25">
      <c r="A574" s="9">
        <v>45830</v>
      </c>
      <c r="B574" s="4" t="s">
        <v>51</v>
      </c>
      <c r="C574" s="5" t="s">
        <v>8</v>
      </c>
      <c r="D574" s="18">
        <v>87</v>
      </c>
      <c r="E574" s="22">
        <v>99.31</v>
      </c>
      <c r="F574" s="6">
        <v>8640</v>
      </c>
      <c r="G574" s="6">
        <v>10195</v>
      </c>
      <c r="H574" s="23">
        <f>SALESTABLE[[#This Row],[Value]]*18%</f>
        <v>1555.2</v>
      </c>
      <c r="I574" s="23"/>
    </row>
    <row r="575" spans="1:9" hidden="1" x14ac:dyDescent="0.25">
      <c r="A575" s="9">
        <v>45830</v>
      </c>
      <c r="B575" s="4" t="s">
        <v>86</v>
      </c>
      <c r="C575" s="5" t="s">
        <v>8</v>
      </c>
      <c r="D575" s="18">
        <v>210</v>
      </c>
      <c r="E575" s="22">
        <v>76</v>
      </c>
      <c r="F575" s="6">
        <v>15960</v>
      </c>
      <c r="G575" s="6">
        <v>18833</v>
      </c>
      <c r="H575" s="23">
        <f>SALESTABLE[[#This Row],[Value]]*18%</f>
        <v>2872.7999999999997</v>
      </c>
      <c r="I575" s="23"/>
    </row>
    <row r="576" spans="1:9" hidden="1" x14ac:dyDescent="0.25">
      <c r="A576" s="9">
        <v>45830</v>
      </c>
      <c r="B576" s="4" t="s">
        <v>97</v>
      </c>
      <c r="C576" s="5" t="s">
        <v>8</v>
      </c>
      <c r="D576" s="18">
        <v>10</v>
      </c>
      <c r="E576" s="22">
        <v>160</v>
      </c>
      <c r="F576" s="6">
        <v>1600</v>
      </c>
      <c r="G576" s="6">
        <v>1888</v>
      </c>
      <c r="H576" s="23">
        <f>SALESTABLE[[#This Row],[Value]]*18%</f>
        <v>288</v>
      </c>
      <c r="I576" s="23"/>
    </row>
    <row r="577" spans="1:9" x14ac:dyDescent="0.25">
      <c r="A577" s="9">
        <v>45830</v>
      </c>
      <c r="B577" t="s">
        <v>98</v>
      </c>
      <c r="C577" s="5" t="s">
        <v>8</v>
      </c>
      <c r="D577" s="18">
        <v>20</v>
      </c>
      <c r="E577" s="22">
        <v>90</v>
      </c>
      <c r="F577" s="6">
        <v>1800</v>
      </c>
      <c r="G577" s="6">
        <v>2124</v>
      </c>
      <c r="H577" s="23">
        <f>SALESTABLE[[#This Row],[Value]]*18%</f>
        <v>324</v>
      </c>
      <c r="I577" s="23"/>
    </row>
    <row r="578" spans="1:9" hidden="1" x14ac:dyDescent="0.25">
      <c r="A578" s="9">
        <v>45830</v>
      </c>
      <c r="B578" s="4" t="s">
        <v>44</v>
      </c>
      <c r="C578" s="5" t="s">
        <v>8</v>
      </c>
      <c r="D578" s="18">
        <v>78</v>
      </c>
      <c r="E578" s="22">
        <v>103</v>
      </c>
      <c r="F578" s="6">
        <v>8034</v>
      </c>
      <c r="G578" s="6">
        <v>9480</v>
      </c>
      <c r="H578" s="23">
        <f>SALESTABLE[[#This Row],[Value]]*18%</f>
        <v>1446.12</v>
      </c>
      <c r="I578" s="23"/>
    </row>
    <row r="579" spans="1:9" hidden="1" x14ac:dyDescent="0.25">
      <c r="A579" s="9">
        <v>45830</v>
      </c>
      <c r="B579" s="4" t="s">
        <v>96</v>
      </c>
      <c r="C579" s="5" t="s">
        <v>8</v>
      </c>
      <c r="D579" s="18">
        <v>20</v>
      </c>
      <c r="E579" s="22">
        <v>83</v>
      </c>
      <c r="F579" s="6">
        <v>1660</v>
      </c>
      <c r="G579" s="6">
        <v>1959</v>
      </c>
      <c r="H579" s="23">
        <f>SALESTABLE[[#This Row],[Value]]*18%</f>
        <v>298.8</v>
      </c>
      <c r="I579" s="23"/>
    </row>
    <row r="580" spans="1:9" hidden="1" x14ac:dyDescent="0.25">
      <c r="A580" s="9">
        <v>45830</v>
      </c>
      <c r="B580" s="4" t="s">
        <v>67</v>
      </c>
      <c r="C580" s="5" t="s">
        <v>8</v>
      </c>
      <c r="D580" s="18">
        <v>52</v>
      </c>
      <c r="E580" s="22">
        <v>125</v>
      </c>
      <c r="F580" s="6">
        <v>6500</v>
      </c>
      <c r="G580" s="6">
        <v>7670</v>
      </c>
      <c r="H580" s="23">
        <f>SALESTABLE[[#This Row],[Value]]*18%</f>
        <v>1170</v>
      </c>
      <c r="I580" s="23"/>
    </row>
    <row r="581" spans="1:9" hidden="1" x14ac:dyDescent="0.25">
      <c r="A581" s="9">
        <v>45830</v>
      </c>
      <c r="B581" s="4" t="s">
        <v>23</v>
      </c>
      <c r="C581" s="5" t="s">
        <v>8</v>
      </c>
      <c r="D581" s="18">
        <v>5</v>
      </c>
      <c r="E581" s="22">
        <v>90</v>
      </c>
      <c r="F581" s="6">
        <v>450</v>
      </c>
      <c r="G581" s="6">
        <v>531</v>
      </c>
      <c r="H581" s="23">
        <f>SALESTABLE[[#This Row],[Value]]*18%</f>
        <v>81</v>
      </c>
      <c r="I581" s="23"/>
    </row>
    <row r="582" spans="1:9" hidden="1" x14ac:dyDescent="0.25">
      <c r="A582" s="9">
        <v>45831</v>
      </c>
      <c r="B582" s="4" t="s">
        <v>96</v>
      </c>
      <c r="C582" s="5" t="s">
        <v>8</v>
      </c>
      <c r="D582" s="18">
        <v>156</v>
      </c>
      <c r="E582" s="22">
        <v>95</v>
      </c>
      <c r="F582" s="6">
        <v>14820</v>
      </c>
      <c r="G582" s="6">
        <v>17488</v>
      </c>
      <c r="H582" s="23">
        <f>SALESTABLE[[#This Row],[Value]]*18%</f>
        <v>2667.6</v>
      </c>
      <c r="I582" s="23"/>
    </row>
    <row r="583" spans="1:9" x14ac:dyDescent="0.25">
      <c r="A583" s="9">
        <v>45831</v>
      </c>
      <c r="B583" t="s">
        <v>98</v>
      </c>
      <c r="C583" s="5" t="s">
        <v>8</v>
      </c>
      <c r="D583" s="18">
        <v>5250</v>
      </c>
      <c r="E583" s="22">
        <v>61</v>
      </c>
      <c r="F583" s="6">
        <v>320250</v>
      </c>
      <c r="G583" s="6">
        <v>377895</v>
      </c>
      <c r="H583" s="23">
        <f>SALESTABLE[[#This Row],[Value]]*18%</f>
        <v>57645</v>
      </c>
      <c r="I583" s="23"/>
    </row>
    <row r="584" spans="1:9" x14ac:dyDescent="0.25">
      <c r="A584" s="9">
        <v>45831</v>
      </c>
      <c r="B584" t="s">
        <v>98</v>
      </c>
      <c r="C584" s="5" t="s">
        <v>8</v>
      </c>
      <c r="D584" s="18">
        <v>26</v>
      </c>
      <c r="E584" s="22">
        <v>120</v>
      </c>
      <c r="F584" s="6">
        <v>3120</v>
      </c>
      <c r="G584" s="6">
        <v>3682</v>
      </c>
      <c r="H584" s="23">
        <f>SALESTABLE[[#This Row],[Value]]*18%</f>
        <v>561.6</v>
      </c>
      <c r="I584" s="23"/>
    </row>
    <row r="585" spans="1:9" x14ac:dyDescent="0.25">
      <c r="A585" s="9">
        <v>45831</v>
      </c>
      <c r="B585" t="s">
        <v>98</v>
      </c>
      <c r="C585" s="5" t="s">
        <v>8</v>
      </c>
      <c r="D585" s="18">
        <v>26</v>
      </c>
      <c r="E585" s="22">
        <v>115</v>
      </c>
      <c r="F585" s="6">
        <v>2990</v>
      </c>
      <c r="G585" s="6">
        <v>3528</v>
      </c>
      <c r="H585" s="23">
        <f>SALESTABLE[[#This Row],[Value]]*18%</f>
        <v>538.19999999999993</v>
      </c>
      <c r="I585" s="23"/>
    </row>
    <row r="586" spans="1:9" hidden="1" x14ac:dyDescent="0.25">
      <c r="A586" s="9">
        <v>45831</v>
      </c>
      <c r="B586" s="4" t="s">
        <v>93</v>
      </c>
      <c r="C586" s="5" t="s">
        <v>8</v>
      </c>
      <c r="D586" s="18">
        <v>52</v>
      </c>
      <c r="E586" s="22">
        <v>102</v>
      </c>
      <c r="F586" s="6">
        <v>5304</v>
      </c>
      <c r="G586" s="6">
        <v>6259</v>
      </c>
      <c r="H586" s="23">
        <f>SALESTABLE[[#This Row],[Value]]*18%</f>
        <v>954.71999999999991</v>
      </c>
      <c r="I586" s="23"/>
    </row>
    <row r="587" spans="1:9" hidden="1" x14ac:dyDescent="0.25">
      <c r="A587" s="9">
        <v>45831</v>
      </c>
      <c r="B587" s="4" t="s">
        <v>93</v>
      </c>
      <c r="C587" s="5" t="s">
        <v>8</v>
      </c>
      <c r="D587" s="18">
        <v>420</v>
      </c>
      <c r="E587" s="22">
        <v>80</v>
      </c>
      <c r="F587" s="6">
        <v>33600</v>
      </c>
      <c r="G587" s="6">
        <v>39648</v>
      </c>
      <c r="H587" s="23">
        <f>SALESTABLE[[#This Row],[Value]]*18%</f>
        <v>6048</v>
      </c>
      <c r="I587" s="23"/>
    </row>
    <row r="588" spans="1:9" hidden="1" x14ac:dyDescent="0.25">
      <c r="A588" s="9">
        <v>45831</v>
      </c>
      <c r="B588" s="4" t="s">
        <v>94</v>
      </c>
      <c r="C588" s="5" t="s">
        <v>8</v>
      </c>
      <c r="D588" s="18">
        <v>600</v>
      </c>
      <c r="E588" s="22">
        <v>86.67</v>
      </c>
      <c r="F588" s="6">
        <v>52000</v>
      </c>
      <c r="G588" s="6">
        <v>61360</v>
      </c>
      <c r="H588" s="23">
        <f>SALESTABLE[[#This Row],[Value]]*18%</f>
        <v>9360</v>
      </c>
      <c r="I588" s="23"/>
    </row>
    <row r="589" spans="1:9" hidden="1" x14ac:dyDescent="0.25">
      <c r="A589" s="9">
        <v>45831</v>
      </c>
      <c r="B589" s="4" t="s">
        <v>95</v>
      </c>
      <c r="C589" s="5" t="s">
        <v>8</v>
      </c>
      <c r="D589" s="18">
        <v>220</v>
      </c>
      <c r="E589" s="22">
        <v>55</v>
      </c>
      <c r="F589" s="6">
        <v>12100</v>
      </c>
      <c r="G589" s="6">
        <v>14278</v>
      </c>
      <c r="H589" s="23">
        <f>SALESTABLE[[#This Row],[Value]]*18%</f>
        <v>2178</v>
      </c>
      <c r="I589" s="23"/>
    </row>
    <row r="590" spans="1:9" hidden="1" x14ac:dyDescent="0.25">
      <c r="A590" s="9">
        <v>45831</v>
      </c>
      <c r="B590" s="4" t="s">
        <v>97</v>
      </c>
      <c r="C590" s="5" t="s">
        <v>8</v>
      </c>
      <c r="D590" s="18">
        <v>35</v>
      </c>
      <c r="E590" s="22">
        <v>200</v>
      </c>
      <c r="F590" s="6">
        <v>7000</v>
      </c>
      <c r="G590" s="6">
        <v>8260</v>
      </c>
      <c r="H590" s="23">
        <f>SALESTABLE[[#This Row],[Value]]*18%</f>
        <v>1260</v>
      </c>
      <c r="I590" s="23"/>
    </row>
    <row r="591" spans="1:9" hidden="1" x14ac:dyDescent="0.25">
      <c r="A591" s="9">
        <v>45832</v>
      </c>
      <c r="B591" s="4" t="s">
        <v>43</v>
      </c>
      <c r="C591" s="5" t="s">
        <v>8</v>
      </c>
      <c r="D591" s="18">
        <v>62</v>
      </c>
      <c r="E591" s="22">
        <v>121.45</v>
      </c>
      <c r="F591" s="6">
        <v>7530</v>
      </c>
      <c r="G591" s="6">
        <v>8885</v>
      </c>
      <c r="H591" s="23">
        <f>SALESTABLE[[#This Row],[Value]]*18%</f>
        <v>1355.3999999999999</v>
      </c>
      <c r="I591" s="23"/>
    </row>
    <row r="592" spans="1:9" hidden="1" x14ac:dyDescent="0.25">
      <c r="A592" s="9">
        <v>45832</v>
      </c>
      <c r="B592" s="4" t="s">
        <v>97</v>
      </c>
      <c r="C592" s="5" t="s">
        <v>8</v>
      </c>
      <c r="D592" s="18">
        <v>26</v>
      </c>
      <c r="E592" s="22">
        <v>128</v>
      </c>
      <c r="F592" s="6">
        <v>3328</v>
      </c>
      <c r="G592" s="6">
        <v>3927</v>
      </c>
      <c r="H592" s="23">
        <f>SALESTABLE[[#This Row],[Value]]*18%</f>
        <v>599.04</v>
      </c>
      <c r="I592" s="23"/>
    </row>
    <row r="593" spans="1:9" hidden="1" x14ac:dyDescent="0.25">
      <c r="A593" s="9">
        <v>45832</v>
      </c>
      <c r="B593" s="4" t="s">
        <v>96</v>
      </c>
      <c r="C593" s="5" t="s">
        <v>8</v>
      </c>
      <c r="D593" s="18">
        <v>420</v>
      </c>
      <c r="E593" s="22">
        <v>55</v>
      </c>
      <c r="F593" s="6">
        <v>23100</v>
      </c>
      <c r="G593" s="6">
        <v>27258</v>
      </c>
      <c r="H593" s="23">
        <f>SALESTABLE[[#This Row],[Value]]*18%</f>
        <v>4158</v>
      </c>
      <c r="I593" s="23"/>
    </row>
    <row r="594" spans="1:9" x14ac:dyDescent="0.25">
      <c r="A594" s="9">
        <v>45832</v>
      </c>
      <c r="B594" t="s">
        <v>98</v>
      </c>
      <c r="C594" s="5" t="s">
        <v>8</v>
      </c>
      <c r="D594" s="18">
        <v>26</v>
      </c>
      <c r="E594" s="22">
        <v>115</v>
      </c>
      <c r="F594" s="6">
        <v>9790</v>
      </c>
      <c r="G594" s="6">
        <v>11162</v>
      </c>
      <c r="H594" s="23">
        <f>SALESTABLE[[#This Row],[Value]]*18%</f>
        <v>1762.2</v>
      </c>
      <c r="I594" s="23"/>
    </row>
    <row r="595" spans="1:9" hidden="1" x14ac:dyDescent="0.25">
      <c r="A595" s="9">
        <v>45832</v>
      </c>
      <c r="B595" s="4" t="s">
        <v>12</v>
      </c>
      <c r="C595" s="5" t="s">
        <v>8</v>
      </c>
      <c r="D595" s="18">
        <v>35</v>
      </c>
      <c r="E595" s="22">
        <v>75</v>
      </c>
      <c r="F595" s="6">
        <v>2625</v>
      </c>
      <c r="G595" s="6">
        <v>3097.5</v>
      </c>
      <c r="H595" s="23">
        <f>SALESTABLE[[#This Row],[Value]]*18%</f>
        <v>472.5</v>
      </c>
      <c r="I595" s="23"/>
    </row>
    <row r="596" spans="1:9" hidden="1" x14ac:dyDescent="0.25">
      <c r="A596" s="9">
        <v>45832</v>
      </c>
      <c r="B596" s="4" t="s">
        <v>89</v>
      </c>
      <c r="C596" s="5" t="s">
        <v>8</v>
      </c>
      <c r="D596" s="18">
        <v>26</v>
      </c>
      <c r="E596" s="22">
        <v>115</v>
      </c>
      <c r="F596" s="6">
        <v>27510</v>
      </c>
      <c r="G596" s="6">
        <v>32462</v>
      </c>
      <c r="H596" s="23">
        <f>SALESTABLE[[#This Row],[Value]]*18%</f>
        <v>4951.8</v>
      </c>
      <c r="I596" s="23"/>
    </row>
    <row r="597" spans="1:9" hidden="1" x14ac:dyDescent="0.25">
      <c r="A597" s="9">
        <v>45832</v>
      </c>
      <c r="B597" s="4" t="s">
        <v>95</v>
      </c>
      <c r="C597" s="5" t="s">
        <v>8</v>
      </c>
      <c r="D597" s="18">
        <v>5</v>
      </c>
      <c r="E597" s="22">
        <v>115</v>
      </c>
      <c r="F597" s="6">
        <v>575</v>
      </c>
      <c r="G597" s="6">
        <v>679</v>
      </c>
      <c r="H597" s="23">
        <f>SALESTABLE[[#This Row],[Value]]*18%</f>
        <v>103.5</v>
      </c>
      <c r="I597" s="23"/>
    </row>
    <row r="598" spans="1:9" hidden="1" x14ac:dyDescent="0.25">
      <c r="A598" s="9">
        <v>45832</v>
      </c>
      <c r="B598" s="4" t="s">
        <v>72</v>
      </c>
      <c r="C598" s="5" t="s">
        <v>8</v>
      </c>
      <c r="D598" s="18">
        <v>210</v>
      </c>
      <c r="E598" s="22">
        <v>153</v>
      </c>
      <c r="F598" s="6">
        <v>32130</v>
      </c>
      <c r="G598" s="6">
        <v>37913</v>
      </c>
      <c r="H598" s="23">
        <f>SALESTABLE[[#This Row],[Value]]*18%</f>
        <v>5783.4</v>
      </c>
      <c r="I598" s="23"/>
    </row>
    <row r="599" spans="1:9" hidden="1" x14ac:dyDescent="0.25">
      <c r="A599" s="9">
        <v>45832</v>
      </c>
      <c r="B599" s="4" t="s">
        <v>56</v>
      </c>
      <c r="C599" s="5" t="s">
        <v>8</v>
      </c>
      <c r="D599" s="18">
        <v>56</v>
      </c>
      <c r="E599" s="22">
        <v>154.11000000000001</v>
      </c>
      <c r="F599" s="6">
        <v>8630</v>
      </c>
      <c r="G599" s="6">
        <v>10183</v>
      </c>
      <c r="H599" s="23">
        <f>SALESTABLE[[#This Row],[Value]]*18%</f>
        <v>1553.3999999999999</v>
      </c>
      <c r="I599" s="23"/>
    </row>
    <row r="600" spans="1:9" x14ac:dyDescent="0.25">
      <c r="A600" s="9">
        <v>45833</v>
      </c>
      <c r="B600" t="s">
        <v>98</v>
      </c>
      <c r="C600" s="5" t="s">
        <v>8</v>
      </c>
      <c r="D600" s="18">
        <v>262</v>
      </c>
      <c r="E600" s="22">
        <v>106.98</v>
      </c>
      <c r="F600" s="6">
        <v>28030</v>
      </c>
      <c r="G600" s="6">
        <v>33075</v>
      </c>
      <c r="H600" s="23">
        <f>SALESTABLE[[#This Row],[Value]]*18%</f>
        <v>5045.3999999999996</v>
      </c>
      <c r="I600" s="23"/>
    </row>
    <row r="601" spans="1:9" hidden="1" x14ac:dyDescent="0.25">
      <c r="A601" s="9">
        <v>45833</v>
      </c>
      <c r="B601" s="4" t="s">
        <v>95</v>
      </c>
      <c r="C601" s="5" t="s">
        <v>8</v>
      </c>
      <c r="D601" s="18">
        <v>420</v>
      </c>
      <c r="E601" s="22">
        <v>54.5</v>
      </c>
      <c r="F601" s="6">
        <v>22890</v>
      </c>
      <c r="G601" s="6">
        <v>27010</v>
      </c>
      <c r="H601" s="23">
        <f>SALESTABLE[[#This Row],[Value]]*18%</f>
        <v>4120.2</v>
      </c>
      <c r="I601" s="23"/>
    </row>
    <row r="602" spans="1:9" x14ac:dyDescent="0.25">
      <c r="A602" s="9">
        <v>45833</v>
      </c>
      <c r="B602" t="s">
        <v>98</v>
      </c>
      <c r="C602" s="5" t="s">
        <v>8</v>
      </c>
      <c r="D602" s="18">
        <v>840</v>
      </c>
      <c r="E602" s="22">
        <v>71</v>
      </c>
      <c r="F602" s="6">
        <v>59640</v>
      </c>
      <c r="G602" s="6">
        <v>70375</v>
      </c>
      <c r="H602" s="23">
        <f>SALESTABLE[[#This Row],[Value]]*18%</f>
        <v>10735.199999999999</v>
      </c>
      <c r="I602" s="23"/>
    </row>
    <row r="603" spans="1:9" hidden="1" x14ac:dyDescent="0.25">
      <c r="A603" s="9">
        <v>45833</v>
      </c>
      <c r="B603" s="4" t="s">
        <v>96</v>
      </c>
      <c r="C603" s="5" t="s">
        <v>8</v>
      </c>
      <c r="D603" s="18">
        <v>26</v>
      </c>
      <c r="E603" s="22">
        <v>120</v>
      </c>
      <c r="F603" s="6">
        <v>3120</v>
      </c>
      <c r="G603" s="6">
        <v>3682</v>
      </c>
      <c r="H603" s="23">
        <f>SALESTABLE[[#This Row],[Value]]*18%</f>
        <v>561.6</v>
      </c>
      <c r="I603" s="23"/>
    </row>
    <row r="604" spans="1:9" hidden="1" x14ac:dyDescent="0.25">
      <c r="A604" s="9">
        <v>45833</v>
      </c>
      <c r="B604" s="4" t="s">
        <v>95</v>
      </c>
      <c r="C604" s="5" t="s">
        <v>8</v>
      </c>
      <c r="D604" s="18">
        <v>150</v>
      </c>
      <c r="E604" s="22">
        <v>163</v>
      </c>
      <c r="F604" s="6">
        <v>24450</v>
      </c>
      <c r="G604" s="6">
        <v>28851</v>
      </c>
      <c r="H604" s="23">
        <f>SALESTABLE[[#This Row],[Value]]*18%</f>
        <v>4401</v>
      </c>
      <c r="I604" s="23"/>
    </row>
    <row r="605" spans="1:9" hidden="1" x14ac:dyDescent="0.25">
      <c r="A605" s="9">
        <v>45833</v>
      </c>
      <c r="B605" s="4" t="s">
        <v>96</v>
      </c>
      <c r="C605" s="5" t="s">
        <v>8</v>
      </c>
      <c r="D605" s="18">
        <v>630</v>
      </c>
      <c r="E605" s="22">
        <v>59</v>
      </c>
      <c r="F605" s="6">
        <v>37170</v>
      </c>
      <c r="G605" s="6">
        <v>43861</v>
      </c>
      <c r="H605" s="23">
        <f>SALESTABLE[[#This Row],[Value]]*18%</f>
        <v>6690.5999999999995</v>
      </c>
      <c r="I605" s="23"/>
    </row>
    <row r="606" spans="1:9" x14ac:dyDescent="0.25">
      <c r="A606" s="9">
        <v>45833</v>
      </c>
      <c r="B606" t="s">
        <v>98</v>
      </c>
      <c r="C606" s="5" t="s">
        <v>8</v>
      </c>
      <c r="D606" s="18">
        <v>262</v>
      </c>
      <c r="E606" s="22">
        <v>149.24</v>
      </c>
      <c r="F606" s="6">
        <v>39100</v>
      </c>
      <c r="G606" s="6">
        <v>46138</v>
      </c>
      <c r="H606" s="23">
        <f>SALESTABLE[[#This Row],[Value]]*18%</f>
        <v>7038</v>
      </c>
      <c r="I606" s="23"/>
    </row>
    <row r="607" spans="1:9" hidden="1" x14ac:dyDescent="0.25">
      <c r="A607" s="9">
        <v>45835</v>
      </c>
      <c r="B607" s="4" t="s">
        <v>95</v>
      </c>
      <c r="C607" s="5" t="s">
        <v>8</v>
      </c>
      <c r="D607" s="18">
        <v>220</v>
      </c>
      <c r="E607" s="22">
        <v>55</v>
      </c>
      <c r="F607" s="6">
        <v>12100</v>
      </c>
      <c r="G607" s="6">
        <v>14278</v>
      </c>
      <c r="H607" s="23">
        <f>SALESTABLE[[#This Row],[Value]]*18%</f>
        <v>2178</v>
      </c>
      <c r="I607" s="23"/>
    </row>
    <row r="608" spans="1:9" hidden="1" x14ac:dyDescent="0.25">
      <c r="A608" s="9">
        <v>45835</v>
      </c>
      <c r="B608" s="4" t="s">
        <v>42</v>
      </c>
      <c r="C608" s="5" t="s">
        <v>8</v>
      </c>
      <c r="D608" s="18">
        <v>384</v>
      </c>
      <c r="E608" s="22">
        <v>103.1</v>
      </c>
      <c r="F608" s="6">
        <v>39590</v>
      </c>
      <c r="G608" s="6">
        <v>46716</v>
      </c>
      <c r="H608" s="23">
        <f>SALESTABLE[[#This Row],[Value]]*18%</f>
        <v>7126.2</v>
      </c>
      <c r="I608" s="23"/>
    </row>
    <row r="609" spans="1:9" hidden="1" x14ac:dyDescent="0.25">
      <c r="A609" s="9">
        <v>45835</v>
      </c>
      <c r="B609" s="4" t="s">
        <v>95</v>
      </c>
      <c r="C609" s="5" t="s">
        <v>8</v>
      </c>
      <c r="D609" s="18">
        <v>50</v>
      </c>
      <c r="E609" s="22">
        <v>96.7</v>
      </c>
      <c r="F609" s="6">
        <v>4835</v>
      </c>
      <c r="G609" s="6">
        <v>5705</v>
      </c>
      <c r="H609" s="23">
        <f>SALESTABLE[[#This Row],[Value]]*18%</f>
        <v>870.3</v>
      </c>
      <c r="I609" s="23"/>
    </row>
    <row r="610" spans="1:9" x14ac:dyDescent="0.25">
      <c r="A610" s="9">
        <v>45835</v>
      </c>
      <c r="B610" t="s">
        <v>98</v>
      </c>
      <c r="C610" s="5" t="s">
        <v>8</v>
      </c>
      <c r="D610" s="18">
        <v>840</v>
      </c>
      <c r="E610" s="22">
        <v>71</v>
      </c>
      <c r="F610" s="6">
        <v>59640</v>
      </c>
      <c r="G610" s="6">
        <v>70375</v>
      </c>
      <c r="H610" s="23">
        <f>SALESTABLE[[#This Row],[Value]]*18%</f>
        <v>10735.199999999999</v>
      </c>
      <c r="I610" s="23"/>
    </row>
    <row r="611" spans="1:9" hidden="1" x14ac:dyDescent="0.25">
      <c r="A611" s="9">
        <v>45835</v>
      </c>
      <c r="B611" s="4" t="s">
        <v>97</v>
      </c>
      <c r="C611" s="5" t="s">
        <v>8</v>
      </c>
      <c r="D611" s="18">
        <v>5</v>
      </c>
      <c r="E611" s="22">
        <v>160</v>
      </c>
      <c r="F611" s="6">
        <v>800</v>
      </c>
      <c r="G611" s="6">
        <v>944</v>
      </c>
      <c r="H611" s="23">
        <f>SALESTABLE[[#This Row],[Value]]*18%</f>
        <v>144</v>
      </c>
      <c r="I611" s="23"/>
    </row>
    <row r="612" spans="1:9" x14ac:dyDescent="0.25">
      <c r="A612" s="9">
        <v>45835</v>
      </c>
      <c r="B612" t="s">
        <v>98</v>
      </c>
      <c r="C612" s="5" t="s">
        <v>8</v>
      </c>
      <c r="D612" s="18">
        <v>104</v>
      </c>
      <c r="E612" s="22">
        <v>114.5</v>
      </c>
      <c r="F612" s="6">
        <v>11908</v>
      </c>
      <c r="G612" s="6">
        <v>14051</v>
      </c>
      <c r="H612" s="23">
        <f>SALESTABLE[[#This Row],[Value]]*18%</f>
        <v>2143.44</v>
      </c>
      <c r="I612" s="23"/>
    </row>
    <row r="613" spans="1:9" hidden="1" x14ac:dyDescent="0.25">
      <c r="A613" s="9">
        <v>45835</v>
      </c>
      <c r="B613" s="4" t="s">
        <v>93</v>
      </c>
      <c r="C613" s="5" t="s">
        <v>8</v>
      </c>
      <c r="D613" s="18">
        <v>215</v>
      </c>
      <c r="E613" s="22">
        <v>80.47</v>
      </c>
      <c r="F613" s="6">
        <v>17300</v>
      </c>
      <c r="G613" s="6">
        <v>20414</v>
      </c>
      <c r="H613" s="23">
        <f>SALESTABLE[[#This Row],[Value]]*18%</f>
        <v>3114</v>
      </c>
      <c r="I613" s="23"/>
    </row>
    <row r="614" spans="1:9" hidden="1" x14ac:dyDescent="0.25">
      <c r="A614" s="9">
        <v>45835</v>
      </c>
      <c r="B614" s="4" t="s">
        <v>91</v>
      </c>
      <c r="C614" s="5" t="s">
        <v>8</v>
      </c>
      <c r="D614" s="18">
        <v>210</v>
      </c>
      <c r="E614" s="22">
        <v>118</v>
      </c>
      <c r="F614" s="6">
        <v>24780</v>
      </c>
      <c r="G614" s="6">
        <v>29240</v>
      </c>
      <c r="H614" s="23">
        <f>SALESTABLE[[#This Row],[Value]]*18%</f>
        <v>4460.3999999999996</v>
      </c>
      <c r="I614" s="23"/>
    </row>
    <row r="615" spans="1:9" hidden="1" x14ac:dyDescent="0.25">
      <c r="A615" s="9">
        <v>45835</v>
      </c>
      <c r="B615" s="4" t="s">
        <v>93</v>
      </c>
      <c r="C615" s="5" t="s">
        <v>8</v>
      </c>
      <c r="D615" s="18">
        <v>130</v>
      </c>
      <c r="E615" s="22">
        <v>103.8</v>
      </c>
      <c r="F615" s="6">
        <v>13494</v>
      </c>
      <c r="G615" s="6">
        <v>15923</v>
      </c>
      <c r="H615" s="23">
        <f>SALESTABLE[[#This Row],[Value]]*18%</f>
        <v>2428.92</v>
      </c>
      <c r="I615" s="23"/>
    </row>
    <row r="616" spans="1:9" hidden="1" x14ac:dyDescent="0.25">
      <c r="A616" s="9">
        <v>45835</v>
      </c>
      <c r="B616" s="4" t="s">
        <v>47</v>
      </c>
      <c r="C616" s="5" t="s">
        <v>8</v>
      </c>
      <c r="D616" s="18">
        <v>1</v>
      </c>
      <c r="E616" s="22">
        <v>1800</v>
      </c>
      <c r="F616" s="6">
        <v>1800</v>
      </c>
      <c r="G616" s="6">
        <v>1890</v>
      </c>
      <c r="H616" s="23">
        <f>SALESTABLE[[#This Row],[Value]]*18%</f>
        <v>324</v>
      </c>
      <c r="I616" s="23"/>
    </row>
    <row r="617" spans="1:9" x14ac:dyDescent="0.25">
      <c r="A617" s="9">
        <v>45836</v>
      </c>
      <c r="B617" t="s">
        <v>98</v>
      </c>
      <c r="C617" s="5" t="s">
        <v>8</v>
      </c>
      <c r="D617" s="18">
        <v>26</v>
      </c>
      <c r="E617" s="22">
        <v>79</v>
      </c>
      <c r="F617" s="6">
        <v>2054</v>
      </c>
      <c r="G617" s="6">
        <v>2424</v>
      </c>
      <c r="H617" s="23">
        <f>SALESTABLE[[#This Row],[Value]]*18%</f>
        <v>369.71999999999997</v>
      </c>
      <c r="I617" s="23"/>
    </row>
    <row r="618" spans="1:9" hidden="1" x14ac:dyDescent="0.25">
      <c r="A618" s="9">
        <v>45836</v>
      </c>
      <c r="B618" s="4" t="s">
        <v>95</v>
      </c>
      <c r="C618" s="5" t="s">
        <v>8</v>
      </c>
      <c r="D618" s="18">
        <v>30</v>
      </c>
      <c r="E618" s="22">
        <v>170</v>
      </c>
      <c r="F618" s="6">
        <v>5100</v>
      </c>
      <c r="G618" s="6">
        <v>6018</v>
      </c>
      <c r="H618" s="23">
        <f>SALESTABLE[[#This Row],[Value]]*18%</f>
        <v>918</v>
      </c>
      <c r="I618" s="23"/>
    </row>
    <row r="619" spans="1:9" x14ac:dyDescent="0.25">
      <c r="A619" s="9">
        <v>45836</v>
      </c>
      <c r="B619" t="s">
        <v>98</v>
      </c>
      <c r="C619" s="5" t="s">
        <v>8</v>
      </c>
      <c r="D619" s="18">
        <v>1050</v>
      </c>
      <c r="E619" s="22">
        <v>69</v>
      </c>
      <c r="F619" s="6">
        <v>72450</v>
      </c>
      <c r="G619" s="6">
        <v>85491</v>
      </c>
      <c r="H619" s="23">
        <f>SALESTABLE[[#This Row],[Value]]*18%</f>
        <v>13041</v>
      </c>
      <c r="I619" s="23"/>
    </row>
    <row r="620" spans="1:9" hidden="1" x14ac:dyDescent="0.25">
      <c r="A620" s="9">
        <v>45836</v>
      </c>
      <c r="B620" s="4" t="s">
        <v>93</v>
      </c>
      <c r="C620" s="5" t="s">
        <v>8</v>
      </c>
      <c r="D620" s="18">
        <v>5</v>
      </c>
      <c r="E620" s="22">
        <v>60</v>
      </c>
      <c r="F620" s="6">
        <v>300</v>
      </c>
      <c r="G620" s="6">
        <v>315</v>
      </c>
      <c r="H620" s="23">
        <f>SALESTABLE[[#This Row],[Value]]*18%</f>
        <v>54</v>
      </c>
      <c r="I620" s="23"/>
    </row>
    <row r="621" spans="1:9" x14ac:dyDescent="0.25">
      <c r="A621" s="9">
        <v>45836</v>
      </c>
      <c r="B621" t="s">
        <v>98</v>
      </c>
      <c r="C621" s="5" t="s">
        <v>8</v>
      </c>
      <c r="D621" s="18">
        <v>26</v>
      </c>
      <c r="E621" s="22">
        <v>140</v>
      </c>
      <c r="F621" s="6">
        <v>3640</v>
      </c>
      <c r="G621" s="6">
        <v>4295</v>
      </c>
      <c r="H621" s="23">
        <f>SALESTABLE[[#This Row],[Value]]*18%</f>
        <v>655.19999999999993</v>
      </c>
      <c r="I621" s="23"/>
    </row>
    <row r="622" spans="1:9" hidden="1" x14ac:dyDescent="0.25">
      <c r="A622" s="9">
        <v>45836</v>
      </c>
      <c r="B622" s="4" t="s">
        <v>94</v>
      </c>
      <c r="C622" s="5" t="s">
        <v>8</v>
      </c>
      <c r="D622" s="18">
        <v>35</v>
      </c>
      <c r="E622" s="22">
        <v>75</v>
      </c>
      <c r="F622" s="6">
        <v>2625</v>
      </c>
      <c r="G622" s="6">
        <v>3098</v>
      </c>
      <c r="H622" s="23">
        <f>SALESTABLE[[#This Row],[Value]]*18%</f>
        <v>472.5</v>
      </c>
      <c r="I622" s="23"/>
    </row>
    <row r="623" spans="1:9" hidden="1" x14ac:dyDescent="0.25">
      <c r="A623" s="9">
        <v>45836</v>
      </c>
      <c r="B623" s="4" t="s">
        <v>12</v>
      </c>
      <c r="C623" s="5" t="s">
        <v>8</v>
      </c>
      <c r="D623" s="18">
        <v>70</v>
      </c>
      <c r="E623" s="22">
        <v>75</v>
      </c>
      <c r="F623" s="6">
        <v>5250</v>
      </c>
      <c r="G623" s="6">
        <v>6195</v>
      </c>
      <c r="H623" s="23">
        <f>SALESTABLE[[#This Row],[Value]]*18%</f>
        <v>945</v>
      </c>
      <c r="I623" s="23"/>
    </row>
    <row r="624" spans="1:9" x14ac:dyDescent="0.25">
      <c r="A624" s="9">
        <v>45836</v>
      </c>
      <c r="B624" t="s">
        <v>98</v>
      </c>
      <c r="C624" s="5" t="s">
        <v>8</v>
      </c>
      <c r="D624" s="18">
        <v>5</v>
      </c>
      <c r="E624" s="22">
        <v>90</v>
      </c>
      <c r="F624" s="6">
        <v>450</v>
      </c>
      <c r="G624" s="6">
        <v>531</v>
      </c>
      <c r="H624" s="23">
        <f>SALESTABLE[[#This Row],[Value]]*18%</f>
        <v>81</v>
      </c>
      <c r="I624" s="23"/>
    </row>
    <row r="625" spans="1:9" hidden="1" x14ac:dyDescent="0.25">
      <c r="A625" s="9">
        <v>45837</v>
      </c>
      <c r="B625" s="4" t="s">
        <v>94</v>
      </c>
      <c r="C625" s="5" t="s">
        <v>8</v>
      </c>
      <c r="D625" s="18">
        <v>104</v>
      </c>
      <c r="E625" s="22">
        <v>102.5</v>
      </c>
      <c r="F625" s="6">
        <v>10660</v>
      </c>
      <c r="G625" s="6">
        <v>12579</v>
      </c>
      <c r="H625" s="23">
        <f>SALESTABLE[[#This Row],[Value]]*18%</f>
        <v>1918.8</v>
      </c>
      <c r="I625" s="23"/>
    </row>
    <row r="626" spans="1:9" hidden="1" x14ac:dyDescent="0.25">
      <c r="A626" s="9">
        <v>45837</v>
      </c>
      <c r="B626" s="4" t="s">
        <v>65</v>
      </c>
      <c r="C626" s="5" t="s">
        <v>8</v>
      </c>
      <c r="D626" s="18">
        <v>26</v>
      </c>
      <c r="E626" s="22">
        <v>190</v>
      </c>
      <c r="F626" s="6">
        <v>4940</v>
      </c>
      <c r="G626" s="6">
        <v>5829</v>
      </c>
      <c r="H626" s="23">
        <f>SALESTABLE[[#This Row],[Value]]*18%</f>
        <v>889.19999999999993</v>
      </c>
      <c r="I626" s="23"/>
    </row>
    <row r="627" spans="1:9" hidden="1" x14ac:dyDescent="0.25">
      <c r="A627" s="9">
        <v>45837</v>
      </c>
      <c r="B627" s="4" t="s">
        <v>96</v>
      </c>
      <c r="C627" s="5" t="s">
        <v>8</v>
      </c>
      <c r="D627" s="18">
        <v>262</v>
      </c>
      <c r="E627" s="22">
        <v>87.37</v>
      </c>
      <c r="F627" s="6">
        <v>22890</v>
      </c>
      <c r="G627" s="6">
        <v>27010</v>
      </c>
      <c r="H627" s="23">
        <f>SALESTABLE[[#This Row],[Value]]*18%</f>
        <v>4120.2</v>
      </c>
      <c r="I627" s="23"/>
    </row>
    <row r="628" spans="1:9" hidden="1" x14ac:dyDescent="0.25">
      <c r="A628" s="9">
        <v>45837</v>
      </c>
      <c r="B628" s="4" t="s">
        <v>102</v>
      </c>
      <c r="C628" s="5" t="s">
        <v>8</v>
      </c>
      <c r="D628" s="18">
        <v>2</v>
      </c>
      <c r="E628" s="22">
        <v>201.75</v>
      </c>
      <c r="F628" s="6">
        <v>403.5</v>
      </c>
      <c r="G628" s="6">
        <v>476</v>
      </c>
      <c r="H628" s="23">
        <f>SALESTABLE[[#This Row],[Value]]*18%</f>
        <v>72.63</v>
      </c>
      <c r="I628" s="23"/>
    </row>
    <row r="629" spans="1:9" hidden="1" x14ac:dyDescent="0.25">
      <c r="A629" s="9">
        <v>45838</v>
      </c>
      <c r="B629" s="4" t="s">
        <v>91</v>
      </c>
      <c r="C629" s="5" t="s">
        <v>8</v>
      </c>
      <c r="D629" s="18">
        <v>35</v>
      </c>
      <c r="E629" s="22">
        <v>112</v>
      </c>
      <c r="F629" s="6">
        <v>3920</v>
      </c>
      <c r="G629" s="6">
        <v>4626</v>
      </c>
      <c r="H629" s="23">
        <f>SALESTABLE[[#This Row],[Value]]*18%</f>
        <v>705.6</v>
      </c>
      <c r="I629" s="23"/>
    </row>
    <row r="630" spans="1:9" hidden="1" x14ac:dyDescent="0.25">
      <c r="A630" s="9">
        <v>45838</v>
      </c>
      <c r="B630" s="4" t="s">
        <v>96</v>
      </c>
      <c r="C630" s="5" t="s">
        <v>8</v>
      </c>
      <c r="D630" s="18">
        <v>420</v>
      </c>
      <c r="E630" s="22">
        <v>56</v>
      </c>
      <c r="F630" s="6">
        <v>23520</v>
      </c>
      <c r="G630" s="6">
        <v>27754</v>
      </c>
      <c r="H630" s="23">
        <f>SALESTABLE[[#This Row],[Value]]*18%</f>
        <v>4233.5999999999995</v>
      </c>
      <c r="I630" s="23"/>
    </row>
    <row r="631" spans="1:9" hidden="1" x14ac:dyDescent="0.25">
      <c r="A631" s="9">
        <v>45838</v>
      </c>
      <c r="B631" s="4" t="s">
        <v>95</v>
      </c>
      <c r="C631" s="5" t="s">
        <v>8</v>
      </c>
      <c r="D631" s="18">
        <v>61</v>
      </c>
      <c r="E631" s="22">
        <v>84.26</v>
      </c>
      <c r="F631" s="6">
        <v>5140</v>
      </c>
      <c r="G631" s="6">
        <v>6065</v>
      </c>
      <c r="H631" s="23">
        <f>SALESTABLE[[#This Row],[Value]]*18%</f>
        <v>925.19999999999993</v>
      </c>
      <c r="I631" s="23"/>
    </row>
    <row r="632" spans="1:9" x14ac:dyDescent="0.25">
      <c r="A632" s="9">
        <v>45838</v>
      </c>
      <c r="B632" t="s">
        <v>98</v>
      </c>
      <c r="C632" s="5" t="s">
        <v>8</v>
      </c>
      <c r="D632" s="18">
        <v>420</v>
      </c>
      <c r="E632" s="22">
        <v>103</v>
      </c>
      <c r="F632" s="6">
        <v>43260</v>
      </c>
      <c r="G632" s="6">
        <v>51047</v>
      </c>
      <c r="H632" s="23">
        <f>SALESTABLE[[#This Row],[Value]]*18%</f>
        <v>7786.7999999999993</v>
      </c>
      <c r="I632" s="23"/>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6"/>
  <sheetViews>
    <sheetView topLeftCell="A62" zoomScaleNormal="100" workbookViewId="0">
      <selection activeCell="F2" sqref="F2:F86"/>
    </sheetView>
  </sheetViews>
  <sheetFormatPr defaultRowHeight="15" x14ac:dyDescent="0.25"/>
  <cols>
    <col min="2" max="2" width="36.7109375" bestFit="1" customWidth="1"/>
    <col min="3" max="3" width="13.7109375" customWidth="1"/>
    <col min="4" max="4" width="10.7109375" style="19" bestFit="1" customWidth="1"/>
    <col min="5" max="5" width="11.5703125" style="19" bestFit="1" customWidth="1"/>
    <col min="6" max="6" width="12.7109375" bestFit="1" customWidth="1"/>
    <col min="7" max="7" width="12.140625" customWidth="1"/>
  </cols>
  <sheetData>
    <row r="1" spans="1:8" x14ac:dyDescent="0.25">
      <c r="A1" s="10" t="s">
        <v>0</v>
      </c>
      <c r="B1" t="s">
        <v>40</v>
      </c>
      <c r="C1" s="11" t="s">
        <v>1</v>
      </c>
      <c r="D1" s="16" t="s">
        <v>2</v>
      </c>
      <c r="E1" s="20" t="s">
        <v>3</v>
      </c>
      <c r="F1" s="11" t="s">
        <v>4</v>
      </c>
      <c r="G1" s="11" t="s">
        <v>5</v>
      </c>
      <c r="H1" s="28" t="s">
        <v>41</v>
      </c>
    </row>
    <row r="2" spans="1:8" x14ac:dyDescent="0.25">
      <c r="A2" s="8">
        <v>45748</v>
      </c>
      <c r="B2" s="30" t="s">
        <v>104</v>
      </c>
      <c r="C2" s="5" t="s">
        <v>6</v>
      </c>
      <c r="D2" s="30">
        <v>6</v>
      </c>
      <c r="E2" s="21">
        <v>1450</v>
      </c>
      <c r="F2" s="3">
        <v>8700</v>
      </c>
      <c r="G2" s="3">
        <f>PURCHASETABLE[[#This Row],[Value]]+PURCHASETABLE[[#This Row],[gst]]</f>
        <v>10266</v>
      </c>
      <c r="H2" s="27">
        <f>PURCHASETABLE[[#This Row],[Value]]*18%</f>
        <v>1566</v>
      </c>
    </row>
    <row r="3" spans="1:8" x14ac:dyDescent="0.25">
      <c r="A3" s="9">
        <v>45748</v>
      </c>
      <c r="B3" s="4" t="s">
        <v>106</v>
      </c>
      <c r="C3" s="5" t="s">
        <v>6</v>
      </c>
      <c r="D3" s="18">
        <v>288</v>
      </c>
      <c r="E3" s="22">
        <v>3.63</v>
      </c>
      <c r="F3" s="6">
        <v>1045.6400000000001</v>
      </c>
      <c r="G3" s="6">
        <f>PURCHASETABLE[[#This Row],[Value]]+PURCHASETABLE[[#This Row],[gst]]</f>
        <v>1233.8552000000002</v>
      </c>
      <c r="H3" s="27">
        <f>PURCHASETABLE[[#This Row],[Value]]*18%</f>
        <v>188.21520000000001</v>
      </c>
    </row>
    <row r="4" spans="1:8" x14ac:dyDescent="0.25">
      <c r="A4" s="9">
        <v>45748</v>
      </c>
      <c r="B4" s="4" t="s">
        <v>115</v>
      </c>
      <c r="C4" s="5" t="s">
        <v>6</v>
      </c>
      <c r="D4" s="18">
        <v>250</v>
      </c>
      <c r="E4" s="22">
        <v>270</v>
      </c>
      <c r="F4" s="6">
        <v>67500</v>
      </c>
      <c r="G4" s="6">
        <f>PURCHASETABLE[[#This Row],[Value]]+PURCHASETABLE[[#This Row],[gst]]</f>
        <v>79650</v>
      </c>
      <c r="H4" s="27">
        <f>PURCHASETABLE[[#This Row],[Value]]*18%</f>
        <v>12150</v>
      </c>
    </row>
    <row r="5" spans="1:8" x14ac:dyDescent="0.25">
      <c r="A5" s="9">
        <v>45749</v>
      </c>
      <c r="B5" s="4" t="s">
        <v>131</v>
      </c>
      <c r="C5" s="5" t="s">
        <v>6</v>
      </c>
      <c r="D5" s="18">
        <v>26</v>
      </c>
      <c r="E5" s="22">
        <v>100.92</v>
      </c>
      <c r="F5" s="6">
        <v>2624</v>
      </c>
      <c r="G5" s="6">
        <f>PURCHASETABLE[[#This Row],[Value]]+PURCHASETABLE[[#This Row],[gst]]</f>
        <v>3096.32</v>
      </c>
      <c r="H5" s="27">
        <f>PURCHASETABLE[[#This Row],[Value]]*18%</f>
        <v>472.32</v>
      </c>
    </row>
    <row r="6" spans="1:8" x14ac:dyDescent="0.25">
      <c r="A6" s="9">
        <v>45751</v>
      </c>
      <c r="B6" s="4" t="s">
        <v>113</v>
      </c>
      <c r="C6" s="5" t="s">
        <v>6</v>
      </c>
      <c r="D6" s="18">
        <v>20</v>
      </c>
      <c r="E6" s="22">
        <v>240</v>
      </c>
      <c r="F6" s="6">
        <v>4800</v>
      </c>
      <c r="G6" s="6">
        <f>PURCHASETABLE[[#This Row],[Value]]+PURCHASETABLE[[#This Row],[gst]]</f>
        <v>5664</v>
      </c>
      <c r="H6" s="27">
        <f>PURCHASETABLE[[#This Row],[Value]]*18%</f>
        <v>864</v>
      </c>
    </row>
    <row r="7" spans="1:8" x14ac:dyDescent="0.25">
      <c r="A7" s="9">
        <v>45752</v>
      </c>
      <c r="B7" s="4" t="s">
        <v>112</v>
      </c>
      <c r="C7" s="5" t="s">
        <v>6</v>
      </c>
      <c r="D7" s="18">
        <v>12</v>
      </c>
      <c r="E7" s="22">
        <v>261.02</v>
      </c>
      <c r="F7" s="6">
        <v>3132.24</v>
      </c>
      <c r="G7" s="6">
        <f>PURCHASETABLE[[#This Row],[Value]]+PURCHASETABLE[[#This Row],[gst]]</f>
        <v>3696.0431999999996</v>
      </c>
      <c r="H7" s="27">
        <f>PURCHASETABLE[[#This Row],[Value]]*18%</f>
        <v>563.80319999999995</v>
      </c>
    </row>
    <row r="8" spans="1:8" x14ac:dyDescent="0.25">
      <c r="A8" s="9">
        <v>45754</v>
      </c>
      <c r="B8" s="4" t="s">
        <v>113</v>
      </c>
      <c r="C8" s="5" t="s">
        <v>6</v>
      </c>
      <c r="D8" s="18">
        <v>390</v>
      </c>
      <c r="E8" s="22">
        <v>223</v>
      </c>
      <c r="F8" s="6">
        <v>86970</v>
      </c>
      <c r="G8" s="6">
        <f>PURCHASETABLE[[#This Row],[Value]]+PURCHASETABLE[[#This Row],[gst]]</f>
        <v>102624.6</v>
      </c>
      <c r="H8" s="27">
        <f>PURCHASETABLE[[#This Row],[Value]]*18%</f>
        <v>15654.599999999999</v>
      </c>
    </row>
    <row r="9" spans="1:8" x14ac:dyDescent="0.25">
      <c r="A9" s="9">
        <v>45755</v>
      </c>
      <c r="B9" s="4" t="s">
        <v>111</v>
      </c>
      <c r="C9" s="5" t="s">
        <v>6</v>
      </c>
      <c r="D9" s="18">
        <v>1050</v>
      </c>
      <c r="E9" s="22">
        <v>83</v>
      </c>
      <c r="F9" s="6">
        <v>87150</v>
      </c>
      <c r="G9" s="6">
        <f>PURCHASETABLE[[#This Row],[Value]]+PURCHASETABLE[[#This Row],[gst]]</f>
        <v>102837</v>
      </c>
      <c r="H9" s="27">
        <f>PURCHASETABLE[[#This Row],[Value]]*18%</f>
        <v>15687</v>
      </c>
    </row>
    <row r="10" spans="1:8" x14ac:dyDescent="0.25">
      <c r="A10" s="9">
        <v>45760</v>
      </c>
      <c r="B10" s="4" t="s">
        <v>132</v>
      </c>
      <c r="C10" s="5" t="s">
        <v>6</v>
      </c>
      <c r="D10" s="18">
        <v>500</v>
      </c>
      <c r="E10" s="22">
        <v>34</v>
      </c>
      <c r="F10" s="6">
        <v>17000</v>
      </c>
      <c r="G10" s="6">
        <f>PURCHASETABLE[[#This Row],[Value]]+PURCHASETABLE[[#This Row],[gst]]</f>
        <v>20060</v>
      </c>
      <c r="H10" s="27">
        <f>PURCHASETABLE[[#This Row],[Value]]*18%</f>
        <v>3060</v>
      </c>
    </row>
    <row r="11" spans="1:8" x14ac:dyDescent="0.25">
      <c r="A11" s="9">
        <v>45761</v>
      </c>
      <c r="B11" s="4" t="s">
        <v>111</v>
      </c>
      <c r="C11" s="5" t="s">
        <v>6</v>
      </c>
      <c r="D11" s="18">
        <v>420</v>
      </c>
      <c r="E11" s="22">
        <v>104</v>
      </c>
      <c r="F11" s="6">
        <v>43680</v>
      </c>
      <c r="G11" s="6">
        <f>PURCHASETABLE[[#This Row],[Value]]+PURCHASETABLE[[#This Row],[gst]]</f>
        <v>51542.400000000001</v>
      </c>
      <c r="H11" s="27">
        <f>PURCHASETABLE[[#This Row],[Value]]*18%</f>
        <v>7862.4</v>
      </c>
    </row>
    <row r="12" spans="1:8" x14ac:dyDescent="0.25">
      <c r="A12" s="9">
        <v>45761</v>
      </c>
      <c r="B12" s="4" t="s">
        <v>130</v>
      </c>
      <c r="C12" s="5" t="s">
        <v>6</v>
      </c>
      <c r="D12" s="18">
        <v>100</v>
      </c>
      <c r="E12" s="22">
        <v>110</v>
      </c>
      <c r="F12" s="6">
        <v>11000</v>
      </c>
      <c r="G12" s="6">
        <f>PURCHASETABLE[[#This Row],[Value]]+PURCHASETABLE[[#This Row],[gst]]</f>
        <v>12980</v>
      </c>
      <c r="H12" s="27">
        <f>PURCHASETABLE[[#This Row],[Value]]*18%</f>
        <v>1980</v>
      </c>
    </row>
    <row r="13" spans="1:8" x14ac:dyDescent="0.25">
      <c r="A13" s="9">
        <v>45762</v>
      </c>
      <c r="B13" s="4" t="s">
        <v>117</v>
      </c>
      <c r="C13" s="5" t="s">
        <v>6</v>
      </c>
      <c r="D13" s="18">
        <v>780</v>
      </c>
      <c r="E13" s="22">
        <v>88.82</v>
      </c>
      <c r="F13" s="6">
        <v>69279.600000000006</v>
      </c>
      <c r="G13" s="6">
        <f>PURCHASETABLE[[#This Row],[Value]]+PURCHASETABLE[[#This Row],[gst]]</f>
        <v>81749.928000000014</v>
      </c>
      <c r="H13" s="27">
        <f>PURCHASETABLE[[#This Row],[Value]]*18%</f>
        <v>12470.328000000001</v>
      </c>
    </row>
    <row r="14" spans="1:8" x14ac:dyDescent="0.25">
      <c r="A14" s="9">
        <v>45763</v>
      </c>
      <c r="B14" s="4" t="s">
        <v>105</v>
      </c>
      <c r="C14" s="5" t="s">
        <v>6</v>
      </c>
      <c r="D14" s="18">
        <v>287</v>
      </c>
      <c r="E14" s="22">
        <v>189.7</v>
      </c>
      <c r="F14" s="6">
        <v>54443.9</v>
      </c>
      <c r="G14" s="6">
        <f>PURCHASETABLE[[#This Row],[Value]]+PURCHASETABLE[[#This Row],[gst]]</f>
        <v>64243.802000000003</v>
      </c>
      <c r="H14" s="27">
        <f>PURCHASETABLE[[#This Row],[Value]]*18%</f>
        <v>9799.902</v>
      </c>
    </row>
    <row r="15" spans="1:8" x14ac:dyDescent="0.25">
      <c r="A15" s="9">
        <v>45763</v>
      </c>
      <c r="B15" s="4" t="s">
        <v>118</v>
      </c>
      <c r="C15" s="5" t="s">
        <v>6</v>
      </c>
      <c r="D15" s="18">
        <v>5</v>
      </c>
      <c r="E15" s="22">
        <v>909.6</v>
      </c>
      <c r="F15" s="6">
        <v>4548</v>
      </c>
      <c r="G15" s="6">
        <f>PURCHASETABLE[[#This Row],[Value]]+PURCHASETABLE[[#This Row],[gst]]</f>
        <v>5366.64</v>
      </c>
      <c r="H15" s="27">
        <f>PURCHASETABLE[[#This Row],[Value]]*18%</f>
        <v>818.64</v>
      </c>
    </row>
    <row r="16" spans="1:8" x14ac:dyDescent="0.25">
      <c r="A16" s="9">
        <v>45763</v>
      </c>
      <c r="B16" s="4" t="s">
        <v>119</v>
      </c>
      <c r="C16" s="5" t="s">
        <v>6</v>
      </c>
      <c r="D16" s="18">
        <v>1000</v>
      </c>
      <c r="E16" s="22">
        <v>158</v>
      </c>
      <c r="F16" s="6">
        <v>158000</v>
      </c>
      <c r="G16" s="6">
        <f>PURCHASETABLE[[#This Row],[Value]]+PURCHASETABLE[[#This Row],[gst]]</f>
        <v>186440</v>
      </c>
      <c r="H16" s="27">
        <f>PURCHASETABLE[[#This Row],[Value]]*18%</f>
        <v>28440</v>
      </c>
    </row>
    <row r="17" spans="1:8" x14ac:dyDescent="0.25">
      <c r="A17" s="9">
        <v>45767</v>
      </c>
      <c r="B17" s="4" t="s">
        <v>120</v>
      </c>
      <c r="C17" s="5" t="s">
        <v>6</v>
      </c>
      <c r="D17" s="18">
        <v>200</v>
      </c>
      <c r="E17" s="22">
        <v>121</v>
      </c>
      <c r="F17" s="6">
        <v>24200</v>
      </c>
      <c r="G17" s="6">
        <f>PURCHASETABLE[[#This Row],[Value]]+PURCHASETABLE[[#This Row],[gst]]</f>
        <v>28556</v>
      </c>
      <c r="H17" s="27">
        <f>PURCHASETABLE[[#This Row],[Value]]*18%</f>
        <v>4356</v>
      </c>
    </row>
    <row r="18" spans="1:8" x14ac:dyDescent="0.25">
      <c r="A18" s="9">
        <v>45768</v>
      </c>
      <c r="B18" s="4" t="s">
        <v>111</v>
      </c>
      <c r="C18" s="5" t="s">
        <v>6</v>
      </c>
      <c r="D18" s="18">
        <v>840</v>
      </c>
      <c r="E18" s="22">
        <v>83</v>
      </c>
      <c r="F18" s="6">
        <v>69720</v>
      </c>
      <c r="G18" s="6">
        <f>PURCHASETABLE[[#This Row],[Value]]+PURCHASETABLE[[#This Row],[gst]]</f>
        <v>82269.600000000006</v>
      </c>
      <c r="H18" s="27">
        <f>PURCHASETABLE[[#This Row],[Value]]*18%</f>
        <v>12549.6</v>
      </c>
    </row>
    <row r="19" spans="1:8" x14ac:dyDescent="0.25">
      <c r="A19" s="9">
        <v>45769</v>
      </c>
      <c r="B19" s="4" t="s">
        <v>121</v>
      </c>
      <c r="C19" s="5" t="s">
        <v>6</v>
      </c>
      <c r="D19" s="18">
        <v>8475</v>
      </c>
      <c r="E19" s="22">
        <v>70</v>
      </c>
      <c r="F19" s="6">
        <v>593250</v>
      </c>
      <c r="G19" s="6">
        <f>PURCHASETABLE[[#This Row],[Value]]+PURCHASETABLE[[#This Row],[gst]]</f>
        <v>700035</v>
      </c>
      <c r="H19" s="27">
        <f>PURCHASETABLE[[#This Row],[Value]]*18%</f>
        <v>106785</v>
      </c>
    </row>
    <row r="20" spans="1:8" x14ac:dyDescent="0.25">
      <c r="A20" s="9">
        <v>45769</v>
      </c>
      <c r="B20" s="4" t="s">
        <v>122</v>
      </c>
      <c r="C20" s="5" t="s">
        <v>6</v>
      </c>
      <c r="D20" s="18">
        <v>300</v>
      </c>
      <c r="E20" s="22">
        <v>121</v>
      </c>
      <c r="F20" s="6">
        <v>36300</v>
      </c>
      <c r="G20" s="6">
        <f>PURCHASETABLE[[#This Row],[Value]]+PURCHASETABLE[[#This Row],[gst]]</f>
        <v>42834</v>
      </c>
      <c r="H20" s="27">
        <f>PURCHASETABLE[[#This Row],[Value]]*18%</f>
        <v>6534</v>
      </c>
    </row>
    <row r="21" spans="1:8" x14ac:dyDescent="0.25">
      <c r="A21" s="9">
        <v>45770</v>
      </c>
      <c r="B21" s="4" t="s">
        <v>123</v>
      </c>
      <c r="C21" s="5" t="s">
        <v>6</v>
      </c>
      <c r="D21" s="18">
        <v>100</v>
      </c>
      <c r="E21" s="22">
        <v>269</v>
      </c>
      <c r="F21" s="6">
        <v>26900</v>
      </c>
      <c r="G21" s="6">
        <f>PURCHASETABLE[[#This Row],[Value]]+PURCHASETABLE[[#This Row],[gst]]</f>
        <v>31742</v>
      </c>
      <c r="H21" s="27">
        <f>PURCHASETABLE[[#This Row],[Value]]*18%</f>
        <v>4842</v>
      </c>
    </row>
    <row r="22" spans="1:8" x14ac:dyDescent="0.25">
      <c r="A22" s="9">
        <v>45773</v>
      </c>
      <c r="B22" s="4" t="s">
        <v>121</v>
      </c>
      <c r="C22" s="5" t="s">
        <v>6</v>
      </c>
      <c r="D22" s="18">
        <v>9690</v>
      </c>
      <c r="E22" s="22">
        <v>70</v>
      </c>
      <c r="F22" s="6">
        <v>678300</v>
      </c>
      <c r="G22" s="6">
        <f>PURCHASETABLE[[#This Row],[Value]]+PURCHASETABLE[[#This Row],[gst]]</f>
        <v>800394</v>
      </c>
      <c r="H22" s="27">
        <f>PURCHASETABLE[[#This Row],[Value]]*18%</f>
        <v>122094</v>
      </c>
    </row>
    <row r="23" spans="1:8" x14ac:dyDescent="0.25">
      <c r="A23" s="9">
        <v>45773</v>
      </c>
      <c r="B23" s="4" t="s">
        <v>124</v>
      </c>
      <c r="C23" s="5" t="s">
        <v>6</v>
      </c>
      <c r="D23" s="18">
        <v>26</v>
      </c>
      <c r="E23" s="22">
        <v>92.5</v>
      </c>
      <c r="F23" s="6">
        <v>2405</v>
      </c>
      <c r="G23" s="6">
        <f>PURCHASETABLE[[#This Row],[Value]]+PURCHASETABLE[[#This Row],[gst]]</f>
        <v>2837.9</v>
      </c>
      <c r="H23" s="27">
        <f>PURCHASETABLE[[#This Row],[Value]]*18%</f>
        <v>432.9</v>
      </c>
    </row>
    <row r="24" spans="1:8" x14ac:dyDescent="0.25">
      <c r="A24" s="9">
        <v>45775</v>
      </c>
      <c r="B24" s="4" t="s">
        <v>125</v>
      </c>
      <c r="C24" s="5" t="s">
        <v>6</v>
      </c>
      <c r="D24" s="18">
        <v>6775</v>
      </c>
      <c r="E24" s="22">
        <v>70</v>
      </c>
      <c r="F24" s="6">
        <v>474250</v>
      </c>
      <c r="G24" s="6">
        <f>PURCHASETABLE[[#This Row],[Value]]+PURCHASETABLE[[#This Row],[gst]]</f>
        <v>559615</v>
      </c>
      <c r="H24" s="27">
        <f>PURCHASETABLE[[#This Row],[Value]]*18%</f>
        <v>85365</v>
      </c>
    </row>
    <row r="25" spans="1:8" x14ac:dyDescent="0.25">
      <c r="A25" s="9">
        <v>45776</v>
      </c>
      <c r="B25" s="4" t="s">
        <v>107</v>
      </c>
      <c r="C25" s="5" t="s">
        <v>6</v>
      </c>
      <c r="D25" s="18">
        <v>11280</v>
      </c>
      <c r="E25" s="22">
        <v>46</v>
      </c>
      <c r="F25" s="6">
        <v>518880</v>
      </c>
      <c r="G25" s="6">
        <f>PURCHASETABLE[[#This Row],[Value]]+PURCHASETABLE[[#This Row],[gst]]</f>
        <v>612278.4</v>
      </c>
      <c r="H25" s="27">
        <f>PURCHASETABLE[[#This Row],[Value]]*18%</f>
        <v>93398.399999999994</v>
      </c>
    </row>
    <row r="26" spans="1:8" x14ac:dyDescent="0.25">
      <c r="A26" s="9">
        <v>45777</v>
      </c>
      <c r="B26" s="4" t="s">
        <v>126</v>
      </c>
      <c r="C26" s="5" t="s">
        <v>6</v>
      </c>
      <c r="D26" s="18">
        <v>150</v>
      </c>
      <c r="E26" s="22">
        <v>147.01</v>
      </c>
      <c r="F26" s="6">
        <v>22051</v>
      </c>
      <c r="G26" s="6">
        <f>PURCHASETABLE[[#This Row],[Value]]+PURCHASETABLE[[#This Row],[gst]]</f>
        <v>26020.18</v>
      </c>
      <c r="H26" s="27">
        <f>PURCHASETABLE[[#This Row],[Value]]*18%</f>
        <v>3969.18</v>
      </c>
    </row>
    <row r="27" spans="1:8" x14ac:dyDescent="0.25">
      <c r="A27" s="8">
        <v>45780</v>
      </c>
      <c r="B27" s="1" t="s">
        <v>117</v>
      </c>
      <c r="C27" s="2" t="s">
        <v>6</v>
      </c>
      <c r="D27" s="17">
        <v>780</v>
      </c>
      <c r="E27" s="21">
        <v>91.1</v>
      </c>
      <c r="F27" s="3">
        <v>71059.320000000007</v>
      </c>
      <c r="G27" s="3">
        <f>PURCHASETABLE[[#This Row],[Value]]+PURCHASETABLE[[#This Row],[gst]]</f>
        <v>83849.997600000002</v>
      </c>
      <c r="H27" s="27">
        <f>PURCHASETABLE[[#This Row],[Value]]*18%</f>
        <v>12790.677600000001</v>
      </c>
    </row>
    <row r="28" spans="1:8" x14ac:dyDescent="0.25">
      <c r="A28" s="9">
        <v>45782</v>
      </c>
      <c r="B28" s="4" t="s">
        <v>130</v>
      </c>
      <c r="C28" s="5" t="s">
        <v>6</v>
      </c>
      <c r="D28" s="18">
        <v>917</v>
      </c>
      <c r="E28" s="22">
        <v>91.95</v>
      </c>
      <c r="F28" s="6">
        <v>84322.03</v>
      </c>
      <c r="G28" s="6">
        <f>PURCHASETABLE[[#This Row],[Value]]+PURCHASETABLE[[#This Row],[gst]]</f>
        <v>99499.9954</v>
      </c>
      <c r="H28" s="27">
        <f>PURCHASETABLE[[#This Row],[Value]]*18%</f>
        <v>15177.965399999999</v>
      </c>
    </row>
    <row r="29" spans="1:8" x14ac:dyDescent="0.25">
      <c r="A29" s="9">
        <v>45782</v>
      </c>
      <c r="B29" s="4" t="s">
        <v>111</v>
      </c>
      <c r="C29" s="5" t="s">
        <v>6</v>
      </c>
      <c r="D29" s="18">
        <v>420</v>
      </c>
      <c r="E29" s="22">
        <v>104</v>
      </c>
      <c r="F29" s="6">
        <v>43680</v>
      </c>
      <c r="G29" s="6">
        <f>PURCHASETABLE[[#This Row],[Value]]+PURCHASETABLE[[#This Row],[gst]]</f>
        <v>51542.400000000001</v>
      </c>
      <c r="H29" s="27">
        <f>PURCHASETABLE[[#This Row],[Value]]*18%</f>
        <v>7862.4</v>
      </c>
    </row>
    <row r="30" spans="1:8" x14ac:dyDescent="0.25">
      <c r="A30" s="9">
        <v>45782</v>
      </c>
      <c r="B30" s="4" t="s">
        <v>111</v>
      </c>
      <c r="C30" s="5" t="s">
        <v>6</v>
      </c>
      <c r="D30" s="18">
        <v>840</v>
      </c>
      <c r="E30" s="22">
        <v>83</v>
      </c>
      <c r="F30" s="6">
        <v>69720</v>
      </c>
      <c r="G30" s="6">
        <f>PURCHASETABLE[[#This Row],[Value]]+PURCHASETABLE[[#This Row],[gst]]</f>
        <v>82269.600000000006</v>
      </c>
      <c r="H30" s="27">
        <f>PURCHASETABLE[[#This Row],[Value]]*18%</f>
        <v>12549.6</v>
      </c>
    </row>
    <row r="31" spans="1:8" x14ac:dyDescent="0.25">
      <c r="A31" s="9">
        <v>45783</v>
      </c>
      <c r="B31" s="4" t="s">
        <v>122</v>
      </c>
      <c r="C31" s="5" t="s">
        <v>6</v>
      </c>
      <c r="D31" s="18">
        <v>180</v>
      </c>
      <c r="E31" s="22">
        <v>78</v>
      </c>
      <c r="F31" s="6">
        <v>14040</v>
      </c>
      <c r="G31" s="6">
        <f>PURCHASETABLE[[#This Row],[Value]]+PURCHASETABLE[[#This Row],[gst]]</f>
        <v>16567.2</v>
      </c>
      <c r="H31" s="27">
        <f>PURCHASETABLE[[#This Row],[Value]]*18%</f>
        <v>2527.1999999999998</v>
      </c>
    </row>
    <row r="32" spans="1:8" x14ac:dyDescent="0.25">
      <c r="A32" s="9">
        <v>45783</v>
      </c>
      <c r="B32" s="4" t="s">
        <v>106</v>
      </c>
      <c r="C32" s="5" t="s">
        <v>6</v>
      </c>
      <c r="D32" s="18">
        <v>120</v>
      </c>
      <c r="E32" s="22">
        <v>7.43</v>
      </c>
      <c r="F32" s="6">
        <v>891</v>
      </c>
      <c r="G32" s="6">
        <f>PURCHASETABLE[[#This Row],[Value]]+PURCHASETABLE[[#This Row],[gst]]</f>
        <v>1051.3800000000001</v>
      </c>
      <c r="H32" s="27">
        <f>PURCHASETABLE[[#This Row],[Value]]*18%</f>
        <v>160.38</v>
      </c>
    </row>
    <row r="33" spans="1:8" x14ac:dyDescent="0.25">
      <c r="A33" s="9">
        <v>45783</v>
      </c>
      <c r="B33" s="4" t="s">
        <v>130</v>
      </c>
      <c r="C33" s="5" t="s">
        <v>6</v>
      </c>
      <c r="D33" s="18">
        <v>917</v>
      </c>
      <c r="E33" s="22">
        <v>91.95</v>
      </c>
      <c r="F33" s="6">
        <v>84322.03</v>
      </c>
      <c r="G33" s="6">
        <f>PURCHASETABLE[[#This Row],[Value]]+PURCHASETABLE[[#This Row],[gst]]</f>
        <v>99499.9954</v>
      </c>
      <c r="H33" s="27">
        <f>PURCHASETABLE[[#This Row],[Value]]*18%</f>
        <v>15177.965399999999</v>
      </c>
    </row>
    <row r="34" spans="1:8" x14ac:dyDescent="0.25">
      <c r="A34" s="29">
        <v>45783</v>
      </c>
      <c r="B34" s="4" t="s">
        <v>110</v>
      </c>
      <c r="C34" s="5" t="s">
        <v>6</v>
      </c>
      <c r="D34" s="18">
        <v>2</v>
      </c>
      <c r="E34" s="22">
        <v>3660</v>
      </c>
      <c r="F34" s="6">
        <v>7320</v>
      </c>
      <c r="G34" s="6">
        <f>PURCHASETABLE[[#This Row],[Value]]+PURCHASETABLE[[#This Row],[gst]]</f>
        <v>8637.6</v>
      </c>
      <c r="H34" s="27">
        <f>PURCHASETABLE[[#This Row],[Value]]*18%</f>
        <v>1317.6</v>
      </c>
    </row>
    <row r="35" spans="1:8" x14ac:dyDescent="0.25">
      <c r="A35" s="9">
        <v>45784</v>
      </c>
      <c r="B35" s="4" t="s">
        <v>130</v>
      </c>
      <c r="C35" s="5" t="s">
        <v>6</v>
      </c>
      <c r="D35" s="18">
        <v>917</v>
      </c>
      <c r="E35" s="22">
        <v>91.95</v>
      </c>
      <c r="F35" s="6">
        <v>84322.03</v>
      </c>
      <c r="G35" s="6">
        <f>PURCHASETABLE[[#This Row],[Value]]+PURCHASETABLE[[#This Row],[gst]]</f>
        <v>99499.9954</v>
      </c>
      <c r="H35" s="27">
        <f>PURCHASETABLE[[#This Row],[Value]]*18%</f>
        <v>15177.965399999999</v>
      </c>
    </row>
    <row r="36" spans="1:8" x14ac:dyDescent="0.25">
      <c r="A36" s="9">
        <v>45786</v>
      </c>
      <c r="B36" s="4" t="s">
        <v>127</v>
      </c>
      <c r="C36" s="5" t="s">
        <v>6</v>
      </c>
      <c r="D36" s="18">
        <v>27040</v>
      </c>
      <c r="E36" s="22">
        <v>75.75</v>
      </c>
      <c r="F36" s="6">
        <v>2048280</v>
      </c>
      <c r="G36" s="6">
        <f>PURCHASETABLE[[#This Row],[Value]]+PURCHASETABLE[[#This Row],[gst]]</f>
        <v>2416970.4</v>
      </c>
      <c r="H36" s="27">
        <f>PURCHASETABLE[[#This Row],[Value]]*18%</f>
        <v>368690.39999999997</v>
      </c>
    </row>
    <row r="37" spans="1:8" x14ac:dyDescent="0.25">
      <c r="A37" s="9">
        <v>45786</v>
      </c>
      <c r="B37" s="4" t="s">
        <v>108</v>
      </c>
      <c r="C37" s="5" t="s">
        <v>6</v>
      </c>
      <c r="D37" s="18">
        <v>1000</v>
      </c>
      <c r="E37" s="22">
        <v>66</v>
      </c>
      <c r="F37" s="6">
        <v>66000</v>
      </c>
      <c r="G37" s="6">
        <f>PURCHASETABLE[[#This Row],[Value]]+PURCHASETABLE[[#This Row],[gst]]</f>
        <v>77880</v>
      </c>
      <c r="H37" s="27">
        <f>PURCHASETABLE[[#This Row],[Value]]*18%</f>
        <v>11880</v>
      </c>
    </row>
    <row r="38" spans="1:8" x14ac:dyDescent="0.25">
      <c r="A38" s="9">
        <v>45787</v>
      </c>
      <c r="B38" s="4" t="s">
        <v>131</v>
      </c>
      <c r="C38" s="5" t="s">
        <v>6</v>
      </c>
      <c r="D38" s="18">
        <v>26</v>
      </c>
      <c r="E38" s="22">
        <v>109</v>
      </c>
      <c r="F38" s="6">
        <v>2834</v>
      </c>
      <c r="G38" s="6">
        <f>PURCHASETABLE[[#This Row],[Value]]+PURCHASETABLE[[#This Row],[gst]]</f>
        <v>3344.12</v>
      </c>
      <c r="H38" s="27">
        <f>PURCHASETABLE[[#This Row],[Value]]*18%</f>
        <v>510.12</v>
      </c>
    </row>
    <row r="39" spans="1:8" x14ac:dyDescent="0.25">
      <c r="A39" s="9">
        <v>45790</v>
      </c>
      <c r="B39" s="4" t="s">
        <v>123</v>
      </c>
      <c r="C39" s="5" t="s">
        <v>6</v>
      </c>
      <c r="D39" s="18">
        <v>390</v>
      </c>
      <c r="E39" s="22">
        <v>220</v>
      </c>
      <c r="F39" s="6">
        <v>85800</v>
      </c>
      <c r="G39" s="6">
        <f>PURCHASETABLE[[#This Row],[Value]]+PURCHASETABLE[[#This Row],[gst]]</f>
        <v>101244</v>
      </c>
      <c r="H39" s="27">
        <f>PURCHASETABLE[[#This Row],[Value]]*18%</f>
        <v>15444</v>
      </c>
    </row>
    <row r="40" spans="1:8" x14ac:dyDescent="0.25">
      <c r="A40" s="9">
        <v>45792</v>
      </c>
      <c r="B40" s="4" t="s">
        <v>131</v>
      </c>
      <c r="C40" s="5" t="s">
        <v>6</v>
      </c>
      <c r="D40" s="18">
        <v>40</v>
      </c>
      <c r="E40" s="22">
        <v>146.22999999999999</v>
      </c>
      <c r="F40" s="6">
        <v>5849.24</v>
      </c>
      <c r="G40" s="6">
        <f>PURCHASETABLE[[#This Row],[Value]]+PURCHASETABLE[[#This Row],[gst]]</f>
        <v>6902.1031999999996</v>
      </c>
      <c r="H40" s="27">
        <f>PURCHASETABLE[[#This Row],[Value]]*18%</f>
        <v>1052.8632</v>
      </c>
    </row>
    <row r="41" spans="1:8" x14ac:dyDescent="0.25">
      <c r="A41" s="9">
        <v>45793</v>
      </c>
      <c r="B41" s="4" t="s">
        <v>116</v>
      </c>
      <c r="C41" s="5" t="s">
        <v>6</v>
      </c>
      <c r="D41" s="18">
        <v>360</v>
      </c>
      <c r="E41" s="22">
        <v>79.75</v>
      </c>
      <c r="F41" s="6">
        <v>28710</v>
      </c>
      <c r="G41" s="6">
        <f>PURCHASETABLE[[#This Row],[Value]]+PURCHASETABLE[[#This Row],[gst]]</f>
        <v>33877.800000000003</v>
      </c>
      <c r="H41" s="27">
        <f>PURCHASETABLE[[#This Row],[Value]]*18%</f>
        <v>5167.8</v>
      </c>
    </row>
    <row r="42" spans="1:8" x14ac:dyDescent="0.25">
      <c r="A42" s="9">
        <v>45793</v>
      </c>
      <c r="B42" s="4" t="s">
        <v>113</v>
      </c>
      <c r="C42" s="5" t="s">
        <v>6</v>
      </c>
      <c r="D42" s="18">
        <v>195</v>
      </c>
      <c r="E42" s="22">
        <v>223</v>
      </c>
      <c r="F42" s="6">
        <v>43485</v>
      </c>
      <c r="G42" s="6">
        <f>PURCHASETABLE[[#This Row],[Value]]+PURCHASETABLE[[#This Row],[gst]]</f>
        <v>51312.3</v>
      </c>
      <c r="H42" s="27">
        <f>PURCHASETABLE[[#This Row],[Value]]*18%</f>
        <v>7827.2999999999993</v>
      </c>
    </row>
    <row r="43" spans="1:8" x14ac:dyDescent="0.25">
      <c r="A43" s="9">
        <v>45795</v>
      </c>
      <c r="B43" s="4" t="s">
        <v>132</v>
      </c>
      <c r="C43" s="5" t="s">
        <v>6</v>
      </c>
      <c r="D43" s="18">
        <v>600</v>
      </c>
      <c r="E43" s="22">
        <v>34</v>
      </c>
      <c r="F43" s="6">
        <v>20400</v>
      </c>
      <c r="G43" s="6">
        <f>PURCHASETABLE[[#This Row],[Value]]+PURCHASETABLE[[#This Row],[gst]]</f>
        <v>24072</v>
      </c>
      <c r="H43" s="27">
        <f>PURCHASETABLE[[#This Row],[Value]]*18%</f>
        <v>3672</v>
      </c>
    </row>
    <row r="44" spans="1:8" x14ac:dyDescent="0.25">
      <c r="A44" s="9">
        <v>45796</v>
      </c>
      <c r="B44" s="4" t="s">
        <v>111</v>
      </c>
      <c r="C44" s="5" t="s">
        <v>6</v>
      </c>
      <c r="D44" s="18">
        <v>1050</v>
      </c>
      <c r="E44" s="22">
        <v>83</v>
      </c>
      <c r="F44" s="6">
        <v>87150</v>
      </c>
      <c r="G44" s="6">
        <f>PURCHASETABLE[[#This Row],[Value]]+PURCHASETABLE[[#This Row],[gst]]</f>
        <v>102837</v>
      </c>
      <c r="H44" s="27">
        <f>PURCHASETABLE[[#This Row],[Value]]*18%</f>
        <v>15687</v>
      </c>
    </row>
    <row r="45" spans="1:8" x14ac:dyDescent="0.25">
      <c r="A45" s="9">
        <v>45798</v>
      </c>
      <c r="B45" s="4" t="s">
        <v>130</v>
      </c>
      <c r="C45" s="5" t="s">
        <v>6</v>
      </c>
      <c r="D45" s="18">
        <v>917</v>
      </c>
      <c r="E45" s="22">
        <v>91.95</v>
      </c>
      <c r="F45" s="6">
        <v>84322.03</v>
      </c>
      <c r="G45" s="6">
        <f>PURCHASETABLE[[#This Row],[Value]]+PURCHASETABLE[[#This Row],[gst]]</f>
        <v>99499.9954</v>
      </c>
      <c r="H45" s="27">
        <f>PURCHASETABLE[[#This Row],[Value]]*18%</f>
        <v>15177.965399999999</v>
      </c>
    </row>
    <row r="46" spans="1:8" x14ac:dyDescent="0.25">
      <c r="A46" s="29">
        <v>45799</v>
      </c>
      <c r="B46" s="4" t="s">
        <v>130</v>
      </c>
      <c r="C46" s="5" t="s">
        <v>6</v>
      </c>
      <c r="D46" s="18">
        <v>917</v>
      </c>
      <c r="E46" s="22">
        <v>91.95</v>
      </c>
      <c r="F46" s="6">
        <v>84322.03</v>
      </c>
      <c r="G46" s="6">
        <f>PURCHASETABLE[[#This Row],[Value]]+PURCHASETABLE[[#This Row],[gst]]</f>
        <v>99499.9954</v>
      </c>
      <c r="H46" s="27">
        <f>PURCHASETABLE[[#This Row],[Value]]*18%</f>
        <v>15177.965399999999</v>
      </c>
    </row>
    <row r="47" spans="1:8" x14ac:dyDescent="0.25">
      <c r="A47" s="9">
        <v>45800</v>
      </c>
      <c r="B47" s="4" t="s">
        <v>122</v>
      </c>
      <c r="C47" s="5" t="s">
        <v>6</v>
      </c>
      <c r="D47" s="18">
        <v>480</v>
      </c>
      <c r="E47" s="22">
        <v>118.75</v>
      </c>
      <c r="F47" s="6">
        <v>57000</v>
      </c>
      <c r="G47" s="6">
        <f>PURCHASETABLE[[#This Row],[Value]]+PURCHASETABLE[[#This Row],[gst]]</f>
        <v>67260</v>
      </c>
      <c r="H47" s="27">
        <f>PURCHASETABLE[[#This Row],[Value]]*18%</f>
        <v>10260</v>
      </c>
    </row>
    <row r="48" spans="1:8" x14ac:dyDescent="0.25">
      <c r="A48" s="9">
        <v>45800</v>
      </c>
      <c r="B48" s="4" t="s">
        <v>132</v>
      </c>
      <c r="C48" s="5" t="s">
        <v>6</v>
      </c>
      <c r="D48" s="18">
        <v>500</v>
      </c>
      <c r="E48" s="22">
        <v>34</v>
      </c>
      <c r="F48" s="6">
        <v>17000</v>
      </c>
      <c r="G48" s="6">
        <f>PURCHASETABLE[[#This Row],[Value]]+PURCHASETABLE[[#This Row],[gst]]</f>
        <v>20060</v>
      </c>
      <c r="H48" s="27">
        <f>PURCHASETABLE[[#This Row],[Value]]*18%</f>
        <v>3060</v>
      </c>
    </row>
    <row r="49" spans="1:8" x14ac:dyDescent="0.25">
      <c r="A49" s="9">
        <v>45801</v>
      </c>
      <c r="B49" s="4" t="s">
        <v>114</v>
      </c>
      <c r="C49" s="5" t="s">
        <v>6</v>
      </c>
      <c r="D49" s="18">
        <v>250</v>
      </c>
      <c r="E49" s="22">
        <v>122</v>
      </c>
      <c r="F49" s="6">
        <v>30500</v>
      </c>
      <c r="G49" s="6">
        <f>PURCHASETABLE[[#This Row],[Value]]+PURCHASETABLE[[#This Row],[gst]]</f>
        <v>35990</v>
      </c>
      <c r="H49" s="27">
        <f>PURCHASETABLE[[#This Row],[Value]]*18%</f>
        <v>5490</v>
      </c>
    </row>
    <row r="50" spans="1:8" x14ac:dyDescent="0.25">
      <c r="A50" s="9">
        <v>45803</v>
      </c>
      <c r="B50" s="4" t="s">
        <v>111</v>
      </c>
      <c r="C50" s="5" t="s">
        <v>6</v>
      </c>
      <c r="D50" s="18">
        <v>420</v>
      </c>
      <c r="E50" s="22">
        <v>104</v>
      </c>
      <c r="F50" s="6">
        <v>43680</v>
      </c>
      <c r="G50" s="6">
        <f>PURCHASETABLE[[#This Row],[Value]]+PURCHASETABLE[[#This Row],[gst]]</f>
        <v>51542.400000000001</v>
      </c>
      <c r="H50" s="27">
        <f>PURCHASETABLE[[#This Row],[Value]]*18%</f>
        <v>7862.4</v>
      </c>
    </row>
    <row r="51" spans="1:8" x14ac:dyDescent="0.25">
      <c r="A51" s="9">
        <v>45804</v>
      </c>
      <c r="B51" s="4" t="s">
        <v>106</v>
      </c>
      <c r="C51" s="5" t="s">
        <v>6</v>
      </c>
      <c r="D51" s="18">
        <v>1440</v>
      </c>
      <c r="E51" s="22">
        <v>3.48</v>
      </c>
      <c r="F51" s="6">
        <v>5010.37</v>
      </c>
      <c r="G51" s="6">
        <f>PURCHASETABLE[[#This Row],[Value]]+PURCHASETABLE[[#This Row],[gst]]</f>
        <v>5912.2366000000002</v>
      </c>
      <c r="H51" s="27">
        <f>PURCHASETABLE[[#This Row],[Value]]*18%</f>
        <v>901.86659999999995</v>
      </c>
    </row>
    <row r="52" spans="1:8" x14ac:dyDescent="0.25">
      <c r="A52" s="9">
        <v>45804</v>
      </c>
      <c r="B52" s="4" t="s">
        <v>113</v>
      </c>
      <c r="C52" s="5" t="s">
        <v>6</v>
      </c>
      <c r="D52" s="18">
        <v>195</v>
      </c>
      <c r="E52" s="22">
        <v>223</v>
      </c>
      <c r="F52" s="6">
        <v>43485</v>
      </c>
      <c r="G52" s="6">
        <f>PURCHASETABLE[[#This Row],[Value]]+PURCHASETABLE[[#This Row],[gst]]</f>
        <v>51312.3</v>
      </c>
      <c r="H52" s="27">
        <f>PURCHASETABLE[[#This Row],[Value]]*18%</f>
        <v>7827.2999999999993</v>
      </c>
    </row>
    <row r="53" spans="1:8" x14ac:dyDescent="0.25">
      <c r="A53" s="29">
        <v>45805</v>
      </c>
      <c r="B53" s="4" t="s">
        <v>124</v>
      </c>
      <c r="C53" s="5" t="s">
        <v>6</v>
      </c>
      <c r="D53" s="18">
        <v>60</v>
      </c>
      <c r="E53" s="22">
        <v>145</v>
      </c>
      <c r="F53" s="6">
        <v>8700</v>
      </c>
      <c r="G53" s="6">
        <f>PURCHASETABLE[[#This Row],[Value]]+PURCHASETABLE[[#This Row],[gst]]</f>
        <v>10266</v>
      </c>
      <c r="H53" s="27">
        <f>PURCHASETABLE[[#This Row],[Value]]*18%</f>
        <v>1566</v>
      </c>
    </row>
    <row r="54" spans="1:8" x14ac:dyDescent="0.25">
      <c r="A54" s="9">
        <v>45806</v>
      </c>
      <c r="B54" s="4" t="s">
        <v>109</v>
      </c>
      <c r="C54" s="5" t="s">
        <v>6</v>
      </c>
      <c r="D54" s="18">
        <v>11340</v>
      </c>
      <c r="E54" s="22">
        <v>75</v>
      </c>
      <c r="F54" s="6">
        <v>850542.83</v>
      </c>
      <c r="G54" s="6">
        <f>PURCHASETABLE[[#This Row],[Value]]+PURCHASETABLE[[#This Row],[gst]]</f>
        <v>1003640.5393999999</v>
      </c>
      <c r="H54" s="27">
        <f>PURCHASETABLE[[#This Row],[Value]]*18%</f>
        <v>153097.70939999999</v>
      </c>
    </row>
    <row r="55" spans="1:8" x14ac:dyDescent="0.25">
      <c r="A55" s="9">
        <v>45807</v>
      </c>
      <c r="B55" s="4" t="s">
        <v>123</v>
      </c>
      <c r="C55" s="5" t="s">
        <v>6</v>
      </c>
      <c r="D55" s="18">
        <v>120</v>
      </c>
      <c r="E55" s="22">
        <v>269</v>
      </c>
      <c r="F55" s="6">
        <v>32280</v>
      </c>
      <c r="G55" s="6">
        <f>PURCHASETABLE[[#This Row],[Value]]+PURCHASETABLE[[#This Row],[gst]]</f>
        <v>38090.400000000001</v>
      </c>
      <c r="H55" s="27">
        <f>PURCHASETABLE[[#This Row],[Value]]*18%</f>
        <v>5810.4</v>
      </c>
    </row>
    <row r="56" spans="1:8" x14ac:dyDescent="0.25">
      <c r="A56" s="9">
        <v>45808</v>
      </c>
      <c r="B56" s="4" t="s">
        <v>125</v>
      </c>
      <c r="C56" s="5" t="s">
        <v>6</v>
      </c>
      <c r="D56" s="18">
        <v>6250</v>
      </c>
      <c r="E56" s="22">
        <v>71</v>
      </c>
      <c r="F56" s="6">
        <v>443750</v>
      </c>
      <c r="G56" s="6">
        <f>PURCHASETABLE[[#This Row],[Value]]+PURCHASETABLE[[#This Row],[gst]]</f>
        <v>523625</v>
      </c>
      <c r="H56" s="27">
        <f>PURCHASETABLE[[#This Row],[Value]]*18%</f>
        <v>79875</v>
      </c>
    </row>
    <row r="57" spans="1:8" x14ac:dyDescent="0.25">
      <c r="A57" s="8">
        <v>45811</v>
      </c>
      <c r="B57" s="1" t="s">
        <v>127</v>
      </c>
      <c r="C57" s="2" t="s">
        <v>6</v>
      </c>
      <c r="D57" s="17">
        <v>21680</v>
      </c>
      <c r="E57" s="21">
        <v>76.5</v>
      </c>
      <c r="F57" s="3">
        <v>1658520</v>
      </c>
      <c r="G57" s="3">
        <f>PURCHASETABLE[[#This Row],[Value]]+PURCHASETABLE[[#This Row],[gst]]</f>
        <v>1957053.6</v>
      </c>
      <c r="H57" s="27">
        <f>PURCHASETABLE[[#This Row],[Value]]*18%</f>
        <v>298533.59999999998</v>
      </c>
    </row>
    <row r="58" spans="1:8" x14ac:dyDescent="0.25">
      <c r="A58" s="9">
        <v>45814</v>
      </c>
      <c r="B58" s="4" t="s">
        <v>125</v>
      </c>
      <c r="C58" s="5" t="s">
        <v>6</v>
      </c>
      <c r="D58" s="18">
        <v>2410</v>
      </c>
      <c r="E58" s="22">
        <v>71</v>
      </c>
      <c r="F58" s="6">
        <v>171110</v>
      </c>
      <c r="G58" s="6">
        <f>PURCHASETABLE[[#This Row],[Value]]+PURCHASETABLE[[#This Row],[gst]]</f>
        <v>201909.8</v>
      </c>
      <c r="H58" s="27">
        <f>PURCHASETABLE[[#This Row],[Value]]*18%</f>
        <v>30799.8</v>
      </c>
    </row>
    <row r="59" spans="1:8" x14ac:dyDescent="0.25">
      <c r="A59" s="29">
        <v>45815</v>
      </c>
      <c r="B59" s="4" t="s">
        <v>123</v>
      </c>
      <c r="C59" s="5" t="s">
        <v>6</v>
      </c>
      <c r="D59" s="18">
        <v>100</v>
      </c>
      <c r="E59" s="22">
        <v>269</v>
      </c>
      <c r="F59" s="6">
        <v>26900</v>
      </c>
      <c r="G59" s="6">
        <f>PURCHASETABLE[[#This Row],[Value]]+PURCHASETABLE[[#This Row],[gst]]</f>
        <v>31742</v>
      </c>
      <c r="H59" s="27">
        <f>PURCHASETABLE[[#This Row],[Value]]*18%</f>
        <v>4842</v>
      </c>
    </row>
    <row r="60" spans="1:8" x14ac:dyDescent="0.25">
      <c r="A60" s="9">
        <v>45815</v>
      </c>
      <c r="B60" s="4" t="s">
        <v>123</v>
      </c>
      <c r="C60" s="5" t="s">
        <v>6</v>
      </c>
      <c r="D60" s="18">
        <v>585</v>
      </c>
      <c r="E60" s="22">
        <v>220</v>
      </c>
      <c r="F60" s="6">
        <v>128700</v>
      </c>
      <c r="G60" s="6">
        <f>PURCHASETABLE[[#This Row],[Value]]+PURCHASETABLE[[#This Row],[gst]]</f>
        <v>151866</v>
      </c>
      <c r="H60" s="27">
        <f>PURCHASETABLE[[#This Row],[Value]]*18%</f>
        <v>23166</v>
      </c>
    </row>
    <row r="61" spans="1:8" x14ac:dyDescent="0.25">
      <c r="A61" s="9">
        <v>45815</v>
      </c>
      <c r="B61" s="4" t="s">
        <v>108</v>
      </c>
      <c r="C61" s="5" t="s">
        <v>6</v>
      </c>
      <c r="D61" s="18">
        <v>2000</v>
      </c>
      <c r="E61" s="22">
        <v>66</v>
      </c>
      <c r="F61" s="6">
        <v>132000</v>
      </c>
      <c r="G61" s="6">
        <f>PURCHASETABLE[[#This Row],[Value]]+PURCHASETABLE[[#This Row],[gst]]</f>
        <v>155760</v>
      </c>
      <c r="H61" s="27">
        <f>PURCHASETABLE[[#This Row],[Value]]*18%</f>
        <v>23760</v>
      </c>
    </row>
    <row r="62" spans="1:8" x14ac:dyDescent="0.25">
      <c r="A62" s="9">
        <v>45817</v>
      </c>
      <c r="B62" s="4" t="s">
        <v>125</v>
      </c>
      <c r="C62" s="5" t="s">
        <v>6</v>
      </c>
      <c r="D62" s="18">
        <v>2405</v>
      </c>
      <c r="E62" s="22">
        <v>71</v>
      </c>
      <c r="F62" s="6">
        <v>170755</v>
      </c>
      <c r="G62" s="6">
        <f>PURCHASETABLE[[#This Row],[Value]]+PURCHASETABLE[[#This Row],[gst]]</f>
        <v>201490.9</v>
      </c>
      <c r="H62" s="27">
        <f>PURCHASETABLE[[#This Row],[Value]]*18%</f>
        <v>30735.899999999998</v>
      </c>
    </row>
    <row r="63" spans="1:8" x14ac:dyDescent="0.25">
      <c r="A63" s="9">
        <v>45817</v>
      </c>
      <c r="B63" s="4" t="s">
        <v>115</v>
      </c>
      <c r="C63" s="5" t="s">
        <v>6</v>
      </c>
      <c r="D63" s="18">
        <v>500</v>
      </c>
      <c r="E63" s="22">
        <v>270</v>
      </c>
      <c r="F63" s="6">
        <v>135000</v>
      </c>
      <c r="G63" s="6">
        <f>PURCHASETABLE[[#This Row],[Value]]+PURCHASETABLE[[#This Row],[gst]]</f>
        <v>159300</v>
      </c>
      <c r="H63" s="27">
        <f>PURCHASETABLE[[#This Row],[Value]]*18%</f>
        <v>24300</v>
      </c>
    </row>
    <row r="64" spans="1:8" x14ac:dyDescent="0.25">
      <c r="A64" s="9">
        <v>45817</v>
      </c>
      <c r="B64" s="4" t="s">
        <v>130</v>
      </c>
      <c r="C64" s="5" t="s">
        <v>6</v>
      </c>
      <c r="D64" s="18">
        <v>100</v>
      </c>
      <c r="E64" s="22">
        <v>110</v>
      </c>
      <c r="F64" s="6">
        <v>11000</v>
      </c>
      <c r="G64" s="6">
        <f>PURCHASETABLE[[#This Row],[Value]]+PURCHASETABLE[[#This Row],[gst]]</f>
        <v>12980</v>
      </c>
      <c r="H64" s="27">
        <f>PURCHASETABLE[[#This Row],[Value]]*18%</f>
        <v>1980</v>
      </c>
    </row>
    <row r="65" spans="1:8" x14ac:dyDescent="0.25">
      <c r="A65" s="9">
        <v>45818</v>
      </c>
      <c r="B65" s="4" t="s">
        <v>108</v>
      </c>
      <c r="C65" s="5" t="s">
        <v>6</v>
      </c>
      <c r="D65" s="18">
        <v>400</v>
      </c>
      <c r="E65" s="22">
        <v>66</v>
      </c>
      <c r="F65" s="6">
        <v>26400</v>
      </c>
      <c r="G65" s="6">
        <f>PURCHASETABLE[[#This Row],[Value]]+PURCHASETABLE[[#This Row],[gst]]</f>
        <v>31152</v>
      </c>
      <c r="H65" s="27">
        <f>PURCHASETABLE[[#This Row],[Value]]*18%</f>
        <v>4752</v>
      </c>
    </row>
    <row r="66" spans="1:8" x14ac:dyDescent="0.25">
      <c r="A66" s="9">
        <v>45818</v>
      </c>
      <c r="B66" s="4" t="s">
        <v>132</v>
      </c>
      <c r="C66" s="5" t="s">
        <v>6</v>
      </c>
      <c r="D66" s="18">
        <v>600</v>
      </c>
      <c r="E66" s="22">
        <v>34</v>
      </c>
      <c r="F66" s="6">
        <v>20400</v>
      </c>
      <c r="G66" s="6">
        <f>PURCHASETABLE[[#This Row],[Value]]+PURCHASETABLE[[#This Row],[gst]]</f>
        <v>24072</v>
      </c>
      <c r="H66" s="27">
        <f>PURCHASETABLE[[#This Row],[Value]]*18%</f>
        <v>3672</v>
      </c>
    </row>
    <row r="67" spans="1:8" x14ac:dyDescent="0.25">
      <c r="A67" s="9">
        <v>45818</v>
      </c>
      <c r="B67" s="4" t="s">
        <v>130</v>
      </c>
      <c r="C67" s="5" t="s">
        <v>6</v>
      </c>
      <c r="D67" s="18">
        <v>52</v>
      </c>
      <c r="E67" s="22">
        <v>100</v>
      </c>
      <c r="F67" s="6">
        <v>5200</v>
      </c>
      <c r="G67" s="6">
        <f>PURCHASETABLE[[#This Row],[Value]]+PURCHASETABLE[[#This Row],[gst]]</f>
        <v>6136</v>
      </c>
      <c r="H67" s="27">
        <f>PURCHASETABLE[[#This Row],[Value]]*18%</f>
        <v>936</v>
      </c>
    </row>
    <row r="68" spans="1:8" x14ac:dyDescent="0.25">
      <c r="A68" s="9">
        <v>45819</v>
      </c>
      <c r="B68" s="4" t="s">
        <v>123</v>
      </c>
      <c r="C68" s="5" t="s">
        <v>6</v>
      </c>
      <c r="D68" s="18">
        <v>100</v>
      </c>
      <c r="E68" s="22">
        <v>269</v>
      </c>
      <c r="F68" s="6">
        <v>26900</v>
      </c>
      <c r="G68" s="6">
        <f>PURCHASETABLE[[#This Row],[Value]]+PURCHASETABLE[[#This Row],[gst]]</f>
        <v>31742</v>
      </c>
      <c r="H68" s="27">
        <f>PURCHASETABLE[[#This Row],[Value]]*18%</f>
        <v>4842</v>
      </c>
    </row>
    <row r="69" spans="1:8" x14ac:dyDescent="0.25">
      <c r="A69" s="9">
        <v>45820</v>
      </c>
      <c r="B69" s="4" t="s">
        <v>112</v>
      </c>
      <c r="C69" s="5" t="s">
        <v>6</v>
      </c>
      <c r="D69" s="18">
        <v>12</v>
      </c>
      <c r="E69" s="22">
        <v>261.02</v>
      </c>
      <c r="F69" s="6">
        <v>3132.24</v>
      </c>
      <c r="G69" s="6">
        <f>PURCHASETABLE[[#This Row],[Value]]+PURCHASETABLE[[#This Row],[gst]]</f>
        <v>3696.0431999999996</v>
      </c>
      <c r="H69" s="27">
        <f>PURCHASETABLE[[#This Row],[Value]]*18%</f>
        <v>563.80319999999995</v>
      </c>
    </row>
    <row r="70" spans="1:8" x14ac:dyDescent="0.25">
      <c r="A70" s="9">
        <v>45821</v>
      </c>
      <c r="B70" s="4" t="s">
        <v>105</v>
      </c>
      <c r="C70" s="5" t="s">
        <v>6</v>
      </c>
      <c r="D70" s="18">
        <v>309</v>
      </c>
      <c r="E70" s="22">
        <v>189.7</v>
      </c>
      <c r="F70" s="6">
        <v>58617.3</v>
      </c>
      <c r="G70" s="6">
        <f>PURCHASETABLE[[#This Row],[Value]]+PURCHASETABLE[[#This Row],[gst]]</f>
        <v>69168.414000000004</v>
      </c>
      <c r="H70" s="27">
        <f>PURCHASETABLE[[#This Row],[Value]]*18%</f>
        <v>10551.114</v>
      </c>
    </row>
    <row r="71" spans="1:8" x14ac:dyDescent="0.25">
      <c r="A71" s="9">
        <v>45821</v>
      </c>
      <c r="B71" s="4" t="s">
        <v>111</v>
      </c>
      <c r="C71" s="5" t="s">
        <v>6</v>
      </c>
      <c r="D71" s="18">
        <v>840</v>
      </c>
      <c r="E71" s="22">
        <v>83</v>
      </c>
      <c r="F71" s="6">
        <v>69720</v>
      </c>
      <c r="G71" s="6">
        <f>PURCHASETABLE[[#This Row],[Value]]+PURCHASETABLE[[#This Row],[gst]]</f>
        <v>82269.600000000006</v>
      </c>
      <c r="H71" s="27">
        <f>PURCHASETABLE[[#This Row],[Value]]*18%</f>
        <v>12549.6</v>
      </c>
    </row>
    <row r="72" spans="1:8" x14ac:dyDescent="0.25">
      <c r="A72" s="9">
        <v>45822</v>
      </c>
      <c r="B72" s="4" t="s">
        <v>125</v>
      </c>
      <c r="C72" s="5" t="s">
        <v>6</v>
      </c>
      <c r="D72" s="18">
        <v>2315</v>
      </c>
      <c r="E72" s="22">
        <v>71</v>
      </c>
      <c r="F72" s="6">
        <v>164365</v>
      </c>
      <c r="G72" s="6">
        <f>PURCHASETABLE[[#This Row],[Value]]+PURCHASETABLE[[#This Row],[gst]]</f>
        <v>193950.7</v>
      </c>
      <c r="H72" s="27">
        <f>PURCHASETABLE[[#This Row],[Value]]*18%</f>
        <v>29585.699999999997</v>
      </c>
    </row>
    <row r="73" spans="1:8" x14ac:dyDescent="0.25">
      <c r="A73" s="9">
        <v>45824</v>
      </c>
      <c r="B73" s="4" t="s">
        <v>119</v>
      </c>
      <c r="C73" s="5" t="s">
        <v>6</v>
      </c>
      <c r="D73" s="18">
        <v>1000</v>
      </c>
      <c r="E73" s="22">
        <v>158</v>
      </c>
      <c r="F73" s="6">
        <v>158000</v>
      </c>
      <c r="G73" s="6">
        <f>PURCHASETABLE[[#This Row],[Value]]+PURCHASETABLE[[#This Row],[gst]]</f>
        <v>186440</v>
      </c>
      <c r="H73" s="27">
        <f>PURCHASETABLE[[#This Row],[Value]]*18%</f>
        <v>28440</v>
      </c>
    </row>
    <row r="74" spans="1:8" x14ac:dyDescent="0.25">
      <c r="A74" s="9">
        <v>45824</v>
      </c>
      <c r="B74" s="4" t="s">
        <v>125</v>
      </c>
      <c r="C74" s="5" t="s">
        <v>6</v>
      </c>
      <c r="D74" s="18">
        <v>2325</v>
      </c>
      <c r="E74" s="22">
        <v>71</v>
      </c>
      <c r="F74" s="6">
        <v>165075</v>
      </c>
      <c r="G74" s="6">
        <f>PURCHASETABLE[[#This Row],[Value]]+PURCHASETABLE[[#This Row],[gst]]</f>
        <v>194788.5</v>
      </c>
      <c r="H74" s="27">
        <f>PURCHASETABLE[[#This Row],[Value]]*18%</f>
        <v>29713.5</v>
      </c>
    </row>
    <row r="75" spans="1:8" x14ac:dyDescent="0.25">
      <c r="A75" s="9">
        <v>45825</v>
      </c>
      <c r="B75" s="4" t="s">
        <v>128</v>
      </c>
      <c r="C75" s="5" t="s">
        <v>6</v>
      </c>
      <c r="D75" s="18">
        <v>11</v>
      </c>
      <c r="E75" s="22">
        <v>247.09</v>
      </c>
      <c r="F75" s="6">
        <v>2718</v>
      </c>
      <c r="G75" s="6">
        <f>PURCHASETABLE[[#This Row],[Value]]+PURCHASETABLE[[#This Row],[gst]]</f>
        <v>3207.24</v>
      </c>
      <c r="H75" s="27">
        <f>PURCHASETABLE[[#This Row],[Value]]*18%</f>
        <v>489.24</v>
      </c>
    </row>
    <row r="76" spans="1:8" x14ac:dyDescent="0.25">
      <c r="A76" s="9">
        <v>45826</v>
      </c>
      <c r="B76" s="4" t="s">
        <v>123</v>
      </c>
      <c r="C76" s="5" t="s">
        <v>6</v>
      </c>
      <c r="D76" s="18">
        <v>100</v>
      </c>
      <c r="E76" s="22">
        <v>269</v>
      </c>
      <c r="F76" s="6">
        <v>26900</v>
      </c>
      <c r="G76" s="6">
        <f>PURCHASETABLE[[#This Row],[Value]]+PURCHASETABLE[[#This Row],[gst]]</f>
        <v>31742</v>
      </c>
      <c r="H76" s="27">
        <f>PURCHASETABLE[[#This Row],[Value]]*18%</f>
        <v>4842</v>
      </c>
    </row>
    <row r="77" spans="1:8" x14ac:dyDescent="0.25">
      <c r="A77" s="9">
        <v>45826</v>
      </c>
      <c r="B77" s="4" t="s">
        <v>125</v>
      </c>
      <c r="C77" s="5" t="s">
        <v>6</v>
      </c>
      <c r="D77" s="18">
        <v>2483</v>
      </c>
      <c r="E77" s="22">
        <v>71</v>
      </c>
      <c r="F77" s="6">
        <v>176293</v>
      </c>
      <c r="G77" s="6">
        <f>PURCHASETABLE[[#This Row],[Value]]+PURCHASETABLE[[#This Row],[gst]]</f>
        <v>208025.74</v>
      </c>
      <c r="H77" s="27">
        <f>PURCHASETABLE[[#This Row],[Value]]*18%</f>
        <v>31732.739999999998</v>
      </c>
    </row>
    <row r="78" spans="1:8" x14ac:dyDescent="0.25">
      <c r="A78" s="9">
        <v>45828</v>
      </c>
      <c r="B78" s="4" t="s">
        <v>124</v>
      </c>
      <c r="C78" s="5" t="s">
        <v>6</v>
      </c>
      <c r="D78" s="18">
        <v>1050</v>
      </c>
      <c r="E78" s="22">
        <v>58</v>
      </c>
      <c r="F78" s="6">
        <v>60900</v>
      </c>
      <c r="G78" s="6">
        <f>PURCHASETABLE[[#This Row],[Value]]+PURCHASETABLE[[#This Row],[gst]]</f>
        <v>71862</v>
      </c>
      <c r="H78" s="27">
        <f>PURCHASETABLE[[#This Row],[Value]]*18%</f>
        <v>10962</v>
      </c>
    </row>
    <row r="79" spans="1:8" x14ac:dyDescent="0.25">
      <c r="A79" s="9">
        <v>45831</v>
      </c>
      <c r="B79" s="4" t="s">
        <v>105</v>
      </c>
      <c r="C79" s="5" t="s">
        <v>6</v>
      </c>
      <c r="D79" s="18">
        <v>307</v>
      </c>
      <c r="E79" s="22">
        <v>189.7</v>
      </c>
      <c r="F79" s="6">
        <v>58237.9</v>
      </c>
      <c r="G79" s="6">
        <f>PURCHASETABLE[[#This Row],[Value]]+PURCHASETABLE[[#This Row],[gst]]</f>
        <v>68720.722000000009</v>
      </c>
      <c r="H79" s="27">
        <f>PURCHASETABLE[[#This Row],[Value]]*18%</f>
        <v>10482.822</v>
      </c>
    </row>
    <row r="80" spans="1:8" x14ac:dyDescent="0.25">
      <c r="A80" s="9">
        <v>45833</v>
      </c>
      <c r="B80" s="4" t="s">
        <v>128</v>
      </c>
      <c r="C80" s="5" t="s">
        <v>6</v>
      </c>
      <c r="D80" s="18">
        <v>420</v>
      </c>
      <c r="E80" s="22">
        <v>63</v>
      </c>
      <c r="F80" s="7">
        <v>26460</v>
      </c>
      <c r="G80" s="6">
        <f>PURCHASETABLE[[#This Row],[Value]]+PURCHASETABLE[[#This Row],[gst]]</f>
        <v>31222.799999999999</v>
      </c>
      <c r="H80" s="27">
        <f>PURCHASETABLE[[#This Row],[Value]]*18%</f>
        <v>4762.8</v>
      </c>
    </row>
    <row r="81" spans="1:8" x14ac:dyDescent="0.25">
      <c r="A81" s="9">
        <v>45834</v>
      </c>
      <c r="B81" s="4" t="s">
        <v>122</v>
      </c>
      <c r="C81" s="5" t="s">
        <v>6</v>
      </c>
      <c r="D81" s="18">
        <v>420</v>
      </c>
      <c r="E81" s="22">
        <v>63</v>
      </c>
      <c r="F81" s="6">
        <v>26460</v>
      </c>
      <c r="G81" s="6">
        <f>PURCHASETABLE[[#This Row],[Value]]+PURCHASETABLE[[#This Row],[gst]]</f>
        <v>31222.799999999999</v>
      </c>
      <c r="H81" s="27">
        <f>PURCHASETABLE[[#This Row],[Value]]*18%</f>
        <v>4762.8</v>
      </c>
    </row>
    <row r="82" spans="1:8" x14ac:dyDescent="0.25">
      <c r="A82" s="9">
        <v>45835</v>
      </c>
      <c r="B82" s="4" t="s">
        <v>118</v>
      </c>
      <c r="C82" s="5" t="s">
        <v>6</v>
      </c>
      <c r="D82" s="18">
        <v>2</v>
      </c>
      <c r="E82" s="22">
        <v>909.6</v>
      </c>
      <c r="F82" s="6">
        <v>1819.2</v>
      </c>
      <c r="G82" s="6">
        <f>PURCHASETABLE[[#This Row],[Value]]+PURCHASETABLE[[#This Row],[gst]]</f>
        <v>2146.6559999999999</v>
      </c>
      <c r="H82" s="27">
        <f>PURCHASETABLE[[#This Row],[Value]]*18%</f>
        <v>327.45600000000002</v>
      </c>
    </row>
    <row r="83" spans="1:8" x14ac:dyDescent="0.25">
      <c r="A83" s="9">
        <v>45835</v>
      </c>
      <c r="B83" s="4" t="s">
        <v>109</v>
      </c>
      <c r="C83" s="5" t="s">
        <v>6</v>
      </c>
      <c r="D83" s="18">
        <v>9450</v>
      </c>
      <c r="E83" s="22">
        <v>75</v>
      </c>
      <c r="F83" s="6">
        <v>708785.44</v>
      </c>
      <c r="G83" s="6">
        <f>PURCHASETABLE[[#This Row],[Value]]+PURCHASETABLE[[#This Row],[gst]]</f>
        <v>836366.81919999991</v>
      </c>
      <c r="H83" s="27">
        <f>PURCHASETABLE[[#This Row],[Value]]*18%</f>
        <v>127581.37919999998</v>
      </c>
    </row>
    <row r="84" spans="1:8" x14ac:dyDescent="0.25">
      <c r="A84" s="9">
        <v>45837</v>
      </c>
      <c r="B84" s="4" t="s">
        <v>128</v>
      </c>
      <c r="C84" s="5" t="s">
        <v>6</v>
      </c>
      <c r="D84" s="18">
        <v>4</v>
      </c>
      <c r="E84" s="22">
        <v>206.95</v>
      </c>
      <c r="F84" s="6">
        <v>827.8</v>
      </c>
      <c r="G84" s="6">
        <f>PURCHASETABLE[[#This Row],[Value]]+PURCHASETABLE[[#This Row],[gst]]</f>
        <v>976.80399999999997</v>
      </c>
      <c r="H84" s="27">
        <f>PURCHASETABLE[[#This Row],[Value]]*18%</f>
        <v>149.00399999999999</v>
      </c>
    </row>
    <row r="85" spans="1:8" x14ac:dyDescent="0.25">
      <c r="A85" s="29">
        <v>45838</v>
      </c>
      <c r="B85" s="4" t="s">
        <v>126</v>
      </c>
      <c r="C85" s="5" t="s">
        <v>6</v>
      </c>
      <c r="D85" s="18">
        <v>30</v>
      </c>
      <c r="E85" s="22">
        <v>280</v>
      </c>
      <c r="F85" s="6">
        <v>8400</v>
      </c>
      <c r="G85" s="6">
        <f>PURCHASETABLE[[#This Row],[Value]]+PURCHASETABLE[[#This Row],[gst]]</f>
        <v>9912</v>
      </c>
      <c r="H85" s="27">
        <f>PURCHASETABLE[[#This Row],[Value]]*18%</f>
        <v>1512</v>
      </c>
    </row>
    <row r="86" spans="1:8" x14ac:dyDescent="0.25">
      <c r="A86" s="9">
        <v>45838</v>
      </c>
      <c r="B86" s="4" t="s">
        <v>129</v>
      </c>
      <c r="C86" s="5" t="s">
        <v>6</v>
      </c>
      <c r="D86" s="18">
        <v>10780</v>
      </c>
      <c r="E86" s="22">
        <v>47.75</v>
      </c>
      <c r="F86" s="6">
        <v>514745</v>
      </c>
      <c r="G86" s="6">
        <f>PURCHASETABLE[[#This Row],[Value]]+PURCHASETABLE[[#This Row],[gst]]</f>
        <v>607399.1</v>
      </c>
      <c r="H86" s="27">
        <f>PURCHASETABLE[[#This Row],[Value]]*18%</f>
        <v>92654.099999999991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02"/>
  <sheetViews>
    <sheetView tabSelected="1" zoomScaleNormal="100" workbookViewId="0">
      <selection activeCell="C81" sqref="C81"/>
    </sheetView>
  </sheetViews>
  <sheetFormatPr defaultRowHeight="15" x14ac:dyDescent="0.25"/>
  <cols>
    <col min="1" max="1" width="34.42578125" customWidth="1"/>
    <col min="2" max="2" width="15.42578125" customWidth="1"/>
    <col min="3" max="3" width="17.7109375" customWidth="1"/>
    <col min="4" max="4" width="11.7109375" bestFit="1" customWidth="1"/>
  </cols>
  <sheetData>
    <row r="3" spans="1:4" x14ac:dyDescent="0.25">
      <c r="A3" s="33" t="s">
        <v>141</v>
      </c>
      <c r="B3" s="33" t="s">
        <v>139</v>
      </c>
    </row>
    <row r="4" spans="1:4" x14ac:dyDescent="0.25">
      <c r="A4" s="33" t="s">
        <v>134</v>
      </c>
      <c r="B4" t="s">
        <v>6</v>
      </c>
      <c r="C4" t="s">
        <v>8</v>
      </c>
      <c r="D4" t="s">
        <v>135</v>
      </c>
    </row>
    <row r="5" spans="1:4" x14ac:dyDescent="0.25">
      <c r="A5" s="15" t="s">
        <v>136</v>
      </c>
      <c r="B5" s="34">
        <v>3618032.6683999998</v>
      </c>
      <c r="C5" s="34">
        <v>4175753.6040000007</v>
      </c>
      <c r="D5" s="34">
        <v>7793786.2724000011</v>
      </c>
    </row>
    <row r="6" spans="1:4" x14ac:dyDescent="0.25">
      <c r="A6" s="15" t="s">
        <v>137</v>
      </c>
      <c r="B6" s="34">
        <v>5367556.7537999991</v>
      </c>
      <c r="C6" s="34">
        <v>3837295</v>
      </c>
      <c r="D6" s="34">
        <v>9204851.7537999991</v>
      </c>
    </row>
    <row r="7" spans="1:4" x14ac:dyDescent="0.25">
      <c r="A7" s="15" t="s">
        <v>138</v>
      </c>
      <c r="B7" s="34">
        <v>5598322.2383999992</v>
      </c>
      <c r="C7" s="34">
        <v>4484380.5</v>
      </c>
      <c r="D7" s="34">
        <v>10082702.738399999</v>
      </c>
    </row>
    <row r="8" spans="1:4" x14ac:dyDescent="0.25">
      <c r="A8" s="15" t="s">
        <v>135</v>
      </c>
      <c r="B8" s="34">
        <v>14583911.660599997</v>
      </c>
      <c r="C8" s="34">
        <v>12497429.104</v>
      </c>
      <c r="D8" s="34">
        <v>27081340.764600001</v>
      </c>
    </row>
    <row r="24" spans="1:2" x14ac:dyDescent="0.25">
      <c r="A24" s="33" t="s">
        <v>133</v>
      </c>
      <c r="B24" t="s">
        <v>8</v>
      </c>
    </row>
    <row r="26" spans="1:2" x14ac:dyDescent="0.25">
      <c r="A26" s="33" t="s">
        <v>134</v>
      </c>
      <c r="B26" t="s">
        <v>140</v>
      </c>
    </row>
    <row r="27" spans="1:2" x14ac:dyDescent="0.25">
      <c r="A27" s="15" t="s">
        <v>98</v>
      </c>
      <c r="B27" s="34">
        <v>97</v>
      </c>
    </row>
    <row r="28" spans="1:2" x14ac:dyDescent="0.25">
      <c r="A28" s="15" t="s">
        <v>96</v>
      </c>
      <c r="B28" s="34">
        <v>61</v>
      </c>
    </row>
    <row r="29" spans="1:2" x14ac:dyDescent="0.25">
      <c r="A29" s="15" t="s">
        <v>94</v>
      </c>
      <c r="B29" s="34">
        <v>54</v>
      </c>
    </row>
    <row r="30" spans="1:2" x14ac:dyDescent="0.25">
      <c r="A30" s="15" t="s">
        <v>95</v>
      </c>
      <c r="B30" s="34">
        <v>48</v>
      </c>
    </row>
    <row r="31" spans="1:2" x14ac:dyDescent="0.25">
      <c r="A31" s="15" t="s">
        <v>99</v>
      </c>
      <c r="B31" s="34">
        <v>37</v>
      </c>
    </row>
    <row r="32" spans="1:2" x14ac:dyDescent="0.25">
      <c r="A32" s="15" t="s">
        <v>93</v>
      </c>
      <c r="B32" s="34">
        <v>26</v>
      </c>
    </row>
    <row r="33" spans="1:4" x14ac:dyDescent="0.25">
      <c r="A33" s="15" t="s">
        <v>97</v>
      </c>
      <c r="B33" s="34">
        <v>22</v>
      </c>
    </row>
    <row r="34" spans="1:4" x14ac:dyDescent="0.25">
      <c r="A34" s="15" t="s">
        <v>100</v>
      </c>
      <c r="B34" s="34">
        <v>21</v>
      </c>
    </row>
    <row r="35" spans="1:4" x14ac:dyDescent="0.25">
      <c r="A35" s="15" t="s">
        <v>42</v>
      </c>
      <c r="B35" s="34">
        <v>17</v>
      </c>
    </row>
    <row r="36" spans="1:4" x14ac:dyDescent="0.25">
      <c r="A36" s="15" t="s">
        <v>63</v>
      </c>
      <c r="B36" s="34">
        <v>17</v>
      </c>
    </row>
    <row r="37" spans="1:4" x14ac:dyDescent="0.25">
      <c r="A37" s="15" t="s">
        <v>135</v>
      </c>
      <c r="B37" s="34">
        <v>400</v>
      </c>
    </row>
    <row r="45" spans="1:4" x14ac:dyDescent="0.25">
      <c r="A45" s="33" t="s">
        <v>141</v>
      </c>
      <c r="B45" s="33" t="s">
        <v>139</v>
      </c>
    </row>
    <row r="46" spans="1:4" x14ac:dyDescent="0.25">
      <c r="A46" s="33" t="s">
        <v>134</v>
      </c>
      <c r="B46" t="s">
        <v>6</v>
      </c>
      <c r="C46" t="s">
        <v>8</v>
      </c>
      <c r="D46" t="s">
        <v>135</v>
      </c>
    </row>
    <row r="47" spans="1:4" x14ac:dyDescent="0.25">
      <c r="A47" s="15" t="s">
        <v>6</v>
      </c>
      <c r="B47" s="34">
        <v>14583911.660599999</v>
      </c>
      <c r="C47" s="34"/>
      <c r="D47" s="34">
        <v>14583911.660599999</v>
      </c>
    </row>
    <row r="48" spans="1:4" x14ac:dyDescent="0.25">
      <c r="A48" s="15" t="s">
        <v>8</v>
      </c>
      <c r="B48" s="34"/>
      <c r="C48" s="34">
        <v>12497429.104</v>
      </c>
      <c r="D48" s="34">
        <v>12497429.104</v>
      </c>
    </row>
    <row r="49" spans="1:4" x14ac:dyDescent="0.25">
      <c r="A49" s="15" t="s">
        <v>135</v>
      </c>
      <c r="B49" s="34">
        <v>14583911.660599999</v>
      </c>
      <c r="C49" s="34">
        <v>12497429.104</v>
      </c>
      <c r="D49" s="34">
        <v>27081340.764600001</v>
      </c>
    </row>
    <row r="64" spans="1:4" x14ac:dyDescent="0.25">
      <c r="A64" s="33" t="s">
        <v>142</v>
      </c>
      <c r="B64" s="33" t="s">
        <v>139</v>
      </c>
    </row>
    <row r="65" spans="1:4" x14ac:dyDescent="0.25">
      <c r="A65" s="33" t="s">
        <v>134</v>
      </c>
      <c r="B65" t="s">
        <v>6</v>
      </c>
      <c r="C65" t="s">
        <v>8</v>
      </c>
      <c r="D65" t="s">
        <v>135</v>
      </c>
    </row>
    <row r="66" spans="1:4" x14ac:dyDescent="0.25">
      <c r="A66" s="15" t="s">
        <v>136</v>
      </c>
      <c r="B66" s="34">
        <v>551903.28840000008</v>
      </c>
      <c r="C66" s="34">
        <v>636979.53599999973</v>
      </c>
      <c r="D66" s="34">
        <v>1188882.8243999998</v>
      </c>
    </row>
    <row r="67" spans="1:4" x14ac:dyDescent="0.25">
      <c r="A67" s="15" t="s">
        <v>137</v>
      </c>
      <c r="B67" s="34">
        <v>818779.84380000003</v>
      </c>
      <c r="C67" s="34">
        <v>585991.45799999963</v>
      </c>
      <c r="D67" s="34">
        <v>1404771.3017999995</v>
      </c>
    </row>
    <row r="68" spans="1:4" x14ac:dyDescent="0.25">
      <c r="A68" s="15" t="s">
        <v>138</v>
      </c>
      <c r="B68" s="34">
        <v>853981.35840000003</v>
      </c>
      <c r="C68" s="34">
        <v>684703.87199999974</v>
      </c>
      <c r="D68" s="34">
        <v>1538685.2303999998</v>
      </c>
    </row>
    <row r="69" spans="1:4" x14ac:dyDescent="0.25">
      <c r="A69" s="15" t="s">
        <v>135</v>
      </c>
      <c r="B69" s="34">
        <v>2224664.4906000001</v>
      </c>
      <c r="C69" s="34">
        <v>1907674.8659999992</v>
      </c>
      <c r="D69" s="34">
        <v>4132339.3565999991</v>
      </c>
    </row>
    <row r="77" spans="1:4" x14ac:dyDescent="0.25">
      <c r="A77" s="33" t="s">
        <v>133</v>
      </c>
      <c r="B77" t="s">
        <v>144</v>
      </c>
    </row>
    <row r="79" spans="1:4" x14ac:dyDescent="0.25">
      <c r="A79" s="33" t="s">
        <v>134</v>
      </c>
      <c r="B79" t="s">
        <v>143</v>
      </c>
      <c r="C79" t="s">
        <v>141</v>
      </c>
    </row>
    <row r="80" spans="1:4" x14ac:dyDescent="0.25">
      <c r="A80" s="15" t="s">
        <v>127</v>
      </c>
      <c r="B80" s="35">
        <v>48720</v>
      </c>
      <c r="C80" s="34">
        <v>4374024</v>
      </c>
    </row>
    <row r="81" spans="1:3" x14ac:dyDescent="0.25">
      <c r="A81" s="15" t="s">
        <v>125</v>
      </c>
      <c r="B81" s="35">
        <v>24963</v>
      </c>
      <c r="C81" s="34">
        <v>2083405.64</v>
      </c>
    </row>
    <row r="82" spans="1:3" x14ac:dyDescent="0.25">
      <c r="A82" s="15" t="s">
        <v>98</v>
      </c>
      <c r="B82" s="35">
        <v>24796</v>
      </c>
      <c r="C82" s="34">
        <v>2351215</v>
      </c>
    </row>
    <row r="83" spans="1:3" x14ac:dyDescent="0.25">
      <c r="A83" s="15" t="s">
        <v>109</v>
      </c>
      <c r="B83" s="35">
        <v>20790</v>
      </c>
      <c r="C83" s="34">
        <v>1840007.3585999999</v>
      </c>
    </row>
    <row r="84" spans="1:3" x14ac:dyDescent="0.25">
      <c r="A84" s="15" t="s">
        <v>121</v>
      </c>
      <c r="B84" s="35">
        <v>18165</v>
      </c>
      <c r="C84" s="34">
        <v>1500429</v>
      </c>
    </row>
    <row r="85" spans="1:3" x14ac:dyDescent="0.25">
      <c r="A85" s="15" t="s">
        <v>107</v>
      </c>
      <c r="B85" s="35">
        <v>11280</v>
      </c>
      <c r="C85" s="34">
        <v>612278.4</v>
      </c>
    </row>
    <row r="86" spans="1:3" x14ac:dyDescent="0.25">
      <c r="A86" s="15" t="s">
        <v>129</v>
      </c>
      <c r="B86" s="35">
        <v>10780</v>
      </c>
      <c r="C86" s="34">
        <v>607399.1</v>
      </c>
    </row>
    <row r="87" spans="1:3" x14ac:dyDescent="0.25">
      <c r="A87" s="15" t="s">
        <v>96</v>
      </c>
      <c r="B87" s="35">
        <v>10650</v>
      </c>
      <c r="C87" s="34">
        <v>952952.14</v>
      </c>
    </row>
    <row r="88" spans="1:3" x14ac:dyDescent="0.25">
      <c r="A88" s="15" t="s">
        <v>94</v>
      </c>
      <c r="B88" s="35">
        <v>8689</v>
      </c>
      <c r="C88" s="34">
        <v>1009084.405</v>
      </c>
    </row>
    <row r="89" spans="1:3" x14ac:dyDescent="0.25">
      <c r="A89" s="15" t="s">
        <v>95</v>
      </c>
      <c r="B89" s="35">
        <v>7222</v>
      </c>
      <c r="C89" s="34">
        <v>598892.82000000007</v>
      </c>
    </row>
    <row r="90" spans="1:3" x14ac:dyDescent="0.25">
      <c r="A90" s="15" t="s">
        <v>99</v>
      </c>
      <c r="B90" s="35">
        <v>6387</v>
      </c>
      <c r="C90" s="34">
        <v>621335.29999999993</v>
      </c>
    </row>
    <row r="91" spans="1:3" x14ac:dyDescent="0.25">
      <c r="A91" s="15" t="s">
        <v>111</v>
      </c>
      <c r="B91" s="35">
        <v>5880</v>
      </c>
      <c r="C91" s="34">
        <v>607110</v>
      </c>
    </row>
    <row r="92" spans="1:3" x14ac:dyDescent="0.25">
      <c r="A92" s="15" t="s">
        <v>130</v>
      </c>
      <c r="B92" s="35">
        <v>4837</v>
      </c>
      <c r="C92" s="34">
        <v>529595.97699999996</v>
      </c>
    </row>
    <row r="93" spans="1:3" x14ac:dyDescent="0.25">
      <c r="A93" s="15" t="s">
        <v>97</v>
      </c>
      <c r="B93" s="35">
        <v>4169</v>
      </c>
      <c r="C93" s="34">
        <v>544714</v>
      </c>
    </row>
    <row r="94" spans="1:3" x14ac:dyDescent="0.25">
      <c r="A94" s="15" t="s">
        <v>93</v>
      </c>
      <c r="B94" s="35">
        <v>4117</v>
      </c>
      <c r="C94" s="34">
        <v>425267.88</v>
      </c>
    </row>
    <row r="95" spans="1:3" x14ac:dyDescent="0.25">
      <c r="A95" s="15" t="s">
        <v>63</v>
      </c>
      <c r="B95" s="35">
        <v>3772</v>
      </c>
      <c r="C95" s="34">
        <v>1452725.879</v>
      </c>
    </row>
    <row r="96" spans="1:3" x14ac:dyDescent="0.25">
      <c r="A96" s="15" t="s">
        <v>42</v>
      </c>
      <c r="B96" s="35">
        <v>3716</v>
      </c>
      <c r="C96" s="34">
        <v>452123.7</v>
      </c>
    </row>
    <row r="97" spans="1:3" x14ac:dyDescent="0.25">
      <c r="A97" s="15" t="s">
        <v>53</v>
      </c>
      <c r="B97" s="35">
        <v>3505</v>
      </c>
      <c r="C97" s="34">
        <v>377370</v>
      </c>
    </row>
    <row r="98" spans="1:3" x14ac:dyDescent="0.25">
      <c r="A98" s="15" t="s">
        <v>108</v>
      </c>
      <c r="B98" s="35">
        <v>3400</v>
      </c>
      <c r="C98" s="34">
        <v>264792</v>
      </c>
    </row>
    <row r="99" spans="1:3" x14ac:dyDescent="0.25">
      <c r="A99" s="15" t="s">
        <v>13</v>
      </c>
      <c r="B99" s="35">
        <v>3150</v>
      </c>
      <c r="C99" s="34">
        <v>241605</v>
      </c>
    </row>
    <row r="100" spans="1:3" x14ac:dyDescent="0.25">
      <c r="A100" s="15" t="s">
        <v>86</v>
      </c>
      <c r="B100" s="35">
        <v>2427</v>
      </c>
      <c r="C100" s="34">
        <v>230005.32</v>
      </c>
    </row>
    <row r="101" spans="1:3" x14ac:dyDescent="0.25">
      <c r="A101" s="15" t="s">
        <v>100</v>
      </c>
      <c r="B101" s="35">
        <v>2274</v>
      </c>
      <c r="C101" s="34">
        <v>314683.58</v>
      </c>
    </row>
    <row r="102" spans="1:3" x14ac:dyDescent="0.25">
      <c r="A102" s="15" t="s">
        <v>132</v>
      </c>
      <c r="B102" s="35">
        <v>2200</v>
      </c>
      <c r="C102" s="34">
        <v>88264</v>
      </c>
    </row>
    <row r="103" spans="1:3" x14ac:dyDescent="0.25">
      <c r="A103" s="15" t="s">
        <v>17</v>
      </c>
      <c r="B103" s="35">
        <v>2069</v>
      </c>
      <c r="C103" s="34">
        <v>201981.8</v>
      </c>
    </row>
    <row r="104" spans="1:3" x14ac:dyDescent="0.25">
      <c r="A104" s="15" t="s">
        <v>119</v>
      </c>
      <c r="B104" s="35">
        <v>2000</v>
      </c>
      <c r="C104" s="34">
        <v>372880</v>
      </c>
    </row>
    <row r="105" spans="1:3" x14ac:dyDescent="0.25">
      <c r="A105" s="15" t="s">
        <v>82</v>
      </c>
      <c r="B105" s="35">
        <v>1880</v>
      </c>
      <c r="C105" s="34">
        <v>225698.2</v>
      </c>
    </row>
    <row r="106" spans="1:3" x14ac:dyDescent="0.25">
      <c r="A106" s="15" t="s">
        <v>106</v>
      </c>
      <c r="B106" s="35">
        <v>1848</v>
      </c>
      <c r="C106" s="34">
        <v>8197.4717999999993</v>
      </c>
    </row>
    <row r="107" spans="1:3" x14ac:dyDescent="0.25">
      <c r="A107" s="15" t="s">
        <v>47</v>
      </c>
      <c r="B107" s="35">
        <v>1571</v>
      </c>
      <c r="C107" s="34">
        <v>190926</v>
      </c>
    </row>
    <row r="108" spans="1:3" x14ac:dyDescent="0.25">
      <c r="A108" s="15" t="s">
        <v>117</v>
      </c>
      <c r="B108" s="35">
        <v>1560</v>
      </c>
      <c r="C108" s="34">
        <v>165599.92560000002</v>
      </c>
    </row>
    <row r="109" spans="1:3" x14ac:dyDescent="0.25">
      <c r="A109" s="15" t="s">
        <v>123</v>
      </c>
      <c r="B109" s="35">
        <v>1495</v>
      </c>
      <c r="C109" s="34">
        <v>418168.4</v>
      </c>
    </row>
    <row r="110" spans="1:3" x14ac:dyDescent="0.25">
      <c r="A110" s="15" t="s">
        <v>122</v>
      </c>
      <c r="B110" s="35">
        <v>1380</v>
      </c>
      <c r="C110" s="34">
        <v>157884</v>
      </c>
    </row>
    <row r="111" spans="1:3" x14ac:dyDescent="0.25">
      <c r="A111" s="15" t="s">
        <v>124</v>
      </c>
      <c r="B111" s="35">
        <v>1136</v>
      </c>
      <c r="C111" s="34">
        <v>84965.9</v>
      </c>
    </row>
    <row r="112" spans="1:3" x14ac:dyDescent="0.25">
      <c r="A112" s="15" t="s">
        <v>51</v>
      </c>
      <c r="B112" s="35">
        <v>1051</v>
      </c>
      <c r="C112" s="34">
        <v>135971.6</v>
      </c>
    </row>
    <row r="113" spans="1:3" x14ac:dyDescent="0.25">
      <c r="A113" s="15" t="s">
        <v>102</v>
      </c>
      <c r="B113" s="35">
        <v>916</v>
      </c>
      <c r="C113" s="34">
        <v>90539.739999999991</v>
      </c>
    </row>
    <row r="114" spans="1:3" x14ac:dyDescent="0.25">
      <c r="A114" s="15" t="s">
        <v>105</v>
      </c>
      <c r="B114" s="35">
        <v>903</v>
      </c>
      <c r="C114" s="34">
        <v>202132.93800000002</v>
      </c>
    </row>
    <row r="115" spans="1:3" x14ac:dyDescent="0.25">
      <c r="A115" s="15" t="s">
        <v>113</v>
      </c>
      <c r="B115" s="35">
        <v>800</v>
      </c>
      <c r="C115" s="34">
        <v>210913.2</v>
      </c>
    </row>
    <row r="116" spans="1:3" x14ac:dyDescent="0.25">
      <c r="A116" s="15" t="s">
        <v>115</v>
      </c>
      <c r="B116" s="35">
        <v>750</v>
      </c>
      <c r="C116" s="34">
        <v>238950</v>
      </c>
    </row>
    <row r="117" spans="1:3" x14ac:dyDescent="0.25">
      <c r="A117" s="15" t="s">
        <v>80</v>
      </c>
      <c r="B117" s="35">
        <v>732</v>
      </c>
      <c r="C117" s="34">
        <v>178652</v>
      </c>
    </row>
    <row r="118" spans="1:3" x14ac:dyDescent="0.25">
      <c r="A118" s="15" t="s">
        <v>91</v>
      </c>
      <c r="B118" s="35">
        <v>723</v>
      </c>
      <c r="C118" s="34">
        <v>100398.56</v>
      </c>
    </row>
    <row r="119" spans="1:3" x14ac:dyDescent="0.25">
      <c r="A119" s="15" t="s">
        <v>67</v>
      </c>
      <c r="B119" s="35">
        <v>709</v>
      </c>
      <c r="C119" s="34">
        <v>102359.6</v>
      </c>
    </row>
    <row r="120" spans="1:3" x14ac:dyDescent="0.25">
      <c r="A120" s="15" t="s">
        <v>27</v>
      </c>
      <c r="B120" s="35">
        <v>629</v>
      </c>
      <c r="C120" s="34">
        <v>78022</v>
      </c>
    </row>
    <row r="121" spans="1:3" x14ac:dyDescent="0.25">
      <c r="A121" s="15" t="s">
        <v>72</v>
      </c>
      <c r="B121" s="35">
        <v>622</v>
      </c>
      <c r="C121" s="34">
        <v>146166</v>
      </c>
    </row>
    <row r="122" spans="1:3" x14ac:dyDescent="0.25">
      <c r="A122" s="15" t="s">
        <v>103</v>
      </c>
      <c r="B122" s="35">
        <v>572</v>
      </c>
      <c r="C122" s="34">
        <v>69236.5</v>
      </c>
    </row>
    <row r="123" spans="1:3" x14ac:dyDescent="0.25">
      <c r="A123" s="15" t="s">
        <v>15</v>
      </c>
      <c r="B123" s="35">
        <v>564</v>
      </c>
      <c r="C123" s="34">
        <v>84629.8</v>
      </c>
    </row>
    <row r="124" spans="1:3" x14ac:dyDescent="0.25">
      <c r="A124" s="15" t="s">
        <v>11</v>
      </c>
      <c r="B124" s="35">
        <v>560</v>
      </c>
      <c r="C124" s="34">
        <v>48734.5</v>
      </c>
    </row>
    <row r="125" spans="1:3" x14ac:dyDescent="0.25">
      <c r="A125" s="15" t="s">
        <v>50</v>
      </c>
      <c r="B125" s="35">
        <v>539</v>
      </c>
      <c r="C125" s="34">
        <v>71643.8</v>
      </c>
    </row>
    <row r="126" spans="1:3" x14ac:dyDescent="0.25">
      <c r="A126" s="15" t="s">
        <v>68</v>
      </c>
      <c r="B126" s="35">
        <v>524</v>
      </c>
      <c r="C126" s="34">
        <v>127723.4</v>
      </c>
    </row>
    <row r="127" spans="1:3" x14ac:dyDescent="0.25">
      <c r="A127" s="15" t="s">
        <v>44</v>
      </c>
      <c r="B127" s="35">
        <v>520</v>
      </c>
      <c r="C127" s="34">
        <v>66238.720000000001</v>
      </c>
    </row>
    <row r="128" spans="1:3" x14ac:dyDescent="0.25">
      <c r="A128" s="15" t="s">
        <v>49</v>
      </c>
      <c r="B128" s="35">
        <v>455</v>
      </c>
      <c r="C128" s="34">
        <v>35105</v>
      </c>
    </row>
    <row r="129" spans="1:3" x14ac:dyDescent="0.25">
      <c r="A129" s="15" t="s">
        <v>52</v>
      </c>
      <c r="B129" s="35">
        <v>440</v>
      </c>
      <c r="C129" s="34">
        <v>42362</v>
      </c>
    </row>
    <row r="130" spans="1:3" x14ac:dyDescent="0.25">
      <c r="A130" s="15" t="s">
        <v>128</v>
      </c>
      <c r="B130" s="35">
        <v>435</v>
      </c>
      <c r="C130" s="34">
        <v>35406.843999999997</v>
      </c>
    </row>
    <row r="131" spans="1:3" x14ac:dyDescent="0.25">
      <c r="A131" s="15" t="s">
        <v>28</v>
      </c>
      <c r="B131" s="35">
        <v>420</v>
      </c>
      <c r="C131" s="34">
        <v>54516</v>
      </c>
    </row>
    <row r="132" spans="1:3" x14ac:dyDescent="0.25">
      <c r="A132" s="15" t="s">
        <v>71</v>
      </c>
      <c r="B132" s="35">
        <v>420</v>
      </c>
      <c r="C132" s="34">
        <v>39648</v>
      </c>
    </row>
    <row r="133" spans="1:3" x14ac:dyDescent="0.25">
      <c r="A133" s="15" t="s">
        <v>55</v>
      </c>
      <c r="B133" s="35">
        <v>408</v>
      </c>
      <c r="C133" s="34">
        <v>48691.4</v>
      </c>
    </row>
    <row r="134" spans="1:3" x14ac:dyDescent="0.25">
      <c r="A134" s="15" t="s">
        <v>116</v>
      </c>
      <c r="B134" s="35">
        <v>360</v>
      </c>
      <c r="C134" s="34">
        <v>33877.800000000003</v>
      </c>
    </row>
    <row r="135" spans="1:3" x14ac:dyDescent="0.25">
      <c r="A135" s="15" t="s">
        <v>12</v>
      </c>
      <c r="B135" s="35">
        <v>315</v>
      </c>
      <c r="C135" s="34">
        <v>27877.5</v>
      </c>
    </row>
    <row r="136" spans="1:3" x14ac:dyDescent="0.25">
      <c r="A136" s="15" t="s">
        <v>114</v>
      </c>
      <c r="B136" s="35">
        <v>250</v>
      </c>
      <c r="C136" s="34">
        <v>35990</v>
      </c>
    </row>
    <row r="137" spans="1:3" x14ac:dyDescent="0.25">
      <c r="A137" s="15" t="s">
        <v>66</v>
      </c>
      <c r="B137" s="35">
        <v>234</v>
      </c>
      <c r="C137" s="34">
        <v>33134.400000000001</v>
      </c>
    </row>
    <row r="138" spans="1:3" x14ac:dyDescent="0.25">
      <c r="A138" s="15" t="s">
        <v>16</v>
      </c>
      <c r="B138" s="35">
        <v>220</v>
      </c>
      <c r="C138" s="34">
        <v>79414</v>
      </c>
    </row>
    <row r="139" spans="1:3" x14ac:dyDescent="0.25">
      <c r="A139" s="15" t="s">
        <v>26</v>
      </c>
      <c r="B139" s="35">
        <v>213</v>
      </c>
      <c r="C139" s="34">
        <v>35584</v>
      </c>
    </row>
    <row r="140" spans="1:3" x14ac:dyDescent="0.25">
      <c r="A140" s="15" t="s">
        <v>32</v>
      </c>
      <c r="B140" s="35">
        <v>210</v>
      </c>
      <c r="C140" s="34">
        <v>19328</v>
      </c>
    </row>
    <row r="141" spans="1:3" x14ac:dyDescent="0.25">
      <c r="A141" s="15" t="s">
        <v>18</v>
      </c>
      <c r="B141" s="35">
        <v>210</v>
      </c>
      <c r="C141" s="34">
        <v>24161</v>
      </c>
    </row>
    <row r="142" spans="1:3" x14ac:dyDescent="0.25">
      <c r="A142" s="15" t="s">
        <v>22</v>
      </c>
      <c r="B142" s="35">
        <v>210</v>
      </c>
      <c r="C142" s="34">
        <v>17346</v>
      </c>
    </row>
    <row r="143" spans="1:3" x14ac:dyDescent="0.25">
      <c r="A143" s="15" t="s">
        <v>21</v>
      </c>
      <c r="B143" s="35">
        <v>210</v>
      </c>
      <c r="C143" s="34">
        <v>28497</v>
      </c>
    </row>
    <row r="144" spans="1:3" x14ac:dyDescent="0.25">
      <c r="A144" s="15" t="s">
        <v>120</v>
      </c>
      <c r="B144" s="35">
        <v>200</v>
      </c>
      <c r="C144" s="34">
        <v>28556</v>
      </c>
    </row>
    <row r="145" spans="1:3" x14ac:dyDescent="0.25">
      <c r="A145" s="15" t="s">
        <v>43</v>
      </c>
      <c r="B145" s="35">
        <v>192</v>
      </c>
      <c r="C145" s="34">
        <v>26065.8</v>
      </c>
    </row>
    <row r="146" spans="1:3" x14ac:dyDescent="0.25">
      <c r="A146" s="15" t="s">
        <v>14</v>
      </c>
      <c r="B146" s="35">
        <v>182</v>
      </c>
      <c r="C146" s="34">
        <v>23192.880000000001</v>
      </c>
    </row>
    <row r="147" spans="1:3" x14ac:dyDescent="0.25">
      <c r="A147" s="15" t="s">
        <v>126</v>
      </c>
      <c r="B147" s="35">
        <v>180</v>
      </c>
      <c r="C147" s="34">
        <v>35932.18</v>
      </c>
    </row>
    <row r="148" spans="1:3" x14ac:dyDescent="0.25">
      <c r="A148" s="15" t="s">
        <v>56</v>
      </c>
      <c r="B148" s="35">
        <v>173</v>
      </c>
      <c r="C148" s="34">
        <v>29930.400000000001</v>
      </c>
    </row>
    <row r="149" spans="1:3" x14ac:dyDescent="0.25">
      <c r="A149" s="15" t="s">
        <v>64</v>
      </c>
      <c r="B149" s="35">
        <v>156</v>
      </c>
      <c r="C149" s="34">
        <v>27152</v>
      </c>
    </row>
    <row r="150" spans="1:3" x14ac:dyDescent="0.25">
      <c r="A150" s="15" t="s">
        <v>10</v>
      </c>
      <c r="B150" s="35">
        <v>130</v>
      </c>
      <c r="C150" s="34">
        <v>19481.400000000001</v>
      </c>
    </row>
    <row r="151" spans="1:3" x14ac:dyDescent="0.25">
      <c r="A151" s="15" t="s">
        <v>9</v>
      </c>
      <c r="B151" s="35">
        <v>115</v>
      </c>
      <c r="C151" s="34">
        <v>15741.2</v>
      </c>
    </row>
    <row r="152" spans="1:3" x14ac:dyDescent="0.25">
      <c r="A152" s="15" t="s">
        <v>74</v>
      </c>
      <c r="B152" s="35">
        <v>105</v>
      </c>
      <c r="C152" s="34">
        <v>10284</v>
      </c>
    </row>
    <row r="153" spans="1:3" x14ac:dyDescent="0.25">
      <c r="A153" s="15" t="s">
        <v>83</v>
      </c>
      <c r="B153" s="35">
        <v>104</v>
      </c>
      <c r="C153" s="34">
        <v>13989.880000000001</v>
      </c>
    </row>
    <row r="154" spans="1:3" x14ac:dyDescent="0.25">
      <c r="A154" s="15" t="s">
        <v>19</v>
      </c>
      <c r="B154" s="35">
        <v>102</v>
      </c>
      <c r="C154" s="34">
        <v>10525.6</v>
      </c>
    </row>
    <row r="155" spans="1:3" x14ac:dyDescent="0.25">
      <c r="A155" s="15" t="s">
        <v>61</v>
      </c>
      <c r="B155" s="35">
        <v>100</v>
      </c>
      <c r="C155" s="34">
        <v>8496</v>
      </c>
    </row>
    <row r="156" spans="1:3" x14ac:dyDescent="0.25">
      <c r="A156" s="15" t="s">
        <v>87</v>
      </c>
      <c r="B156" s="35">
        <v>100</v>
      </c>
      <c r="C156" s="34">
        <v>11092</v>
      </c>
    </row>
    <row r="157" spans="1:3" x14ac:dyDescent="0.25">
      <c r="A157" s="15" t="s">
        <v>75</v>
      </c>
      <c r="B157" s="35">
        <v>96</v>
      </c>
      <c r="C157" s="34">
        <v>13367.4</v>
      </c>
    </row>
    <row r="158" spans="1:3" x14ac:dyDescent="0.25">
      <c r="A158" s="15" t="s">
        <v>131</v>
      </c>
      <c r="B158" s="35">
        <v>92</v>
      </c>
      <c r="C158" s="34">
        <v>13342.5432</v>
      </c>
    </row>
    <row r="159" spans="1:3" x14ac:dyDescent="0.25">
      <c r="A159" s="15" t="s">
        <v>33</v>
      </c>
      <c r="B159" s="35">
        <v>78</v>
      </c>
      <c r="C159" s="34">
        <v>10370</v>
      </c>
    </row>
    <row r="160" spans="1:3" x14ac:dyDescent="0.25">
      <c r="A160" s="15" t="s">
        <v>78</v>
      </c>
      <c r="B160" s="35">
        <v>73</v>
      </c>
      <c r="C160" s="34">
        <v>11215.9</v>
      </c>
    </row>
    <row r="161" spans="1:3" x14ac:dyDescent="0.25">
      <c r="A161" s="15" t="s">
        <v>101</v>
      </c>
      <c r="B161" s="35">
        <v>70</v>
      </c>
      <c r="C161" s="34">
        <v>13629</v>
      </c>
    </row>
    <row r="162" spans="1:3" x14ac:dyDescent="0.25">
      <c r="A162" s="15" t="s">
        <v>73</v>
      </c>
      <c r="B162" s="35">
        <v>70</v>
      </c>
      <c r="C162" s="34">
        <v>9623</v>
      </c>
    </row>
    <row r="163" spans="1:3" x14ac:dyDescent="0.25">
      <c r="A163" s="15" t="s">
        <v>81</v>
      </c>
      <c r="B163" s="35">
        <v>62</v>
      </c>
      <c r="C163" s="34">
        <v>7540</v>
      </c>
    </row>
    <row r="164" spans="1:3" x14ac:dyDescent="0.25">
      <c r="A164" s="15" t="s">
        <v>57</v>
      </c>
      <c r="B164" s="35">
        <v>60</v>
      </c>
      <c r="C164" s="34">
        <v>6018.5</v>
      </c>
    </row>
    <row r="165" spans="1:3" x14ac:dyDescent="0.25">
      <c r="A165" s="15" t="s">
        <v>54</v>
      </c>
      <c r="B165" s="35">
        <v>60</v>
      </c>
      <c r="C165" s="34">
        <v>12390</v>
      </c>
    </row>
    <row r="166" spans="1:3" x14ac:dyDescent="0.25">
      <c r="A166" s="15" t="s">
        <v>89</v>
      </c>
      <c r="B166" s="35">
        <v>52</v>
      </c>
      <c r="C166" s="34">
        <v>38904.800000000003</v>
      </c>
    </row>
    <row r="167" spans="1:3" x14ac:dyDescent="0.25">
      <c r="A167" s="15" t="s">
        <v>29</v>
      </c>
      <c r="B167" s="35">
        <v>52</v>
      </c>
      <c r="C167" s="34">
        <v>6750</v>
      </c>
    </row>
    <row r="168" spans="1:3" x14ac:dyDescent="0.25">
      <c r="A168" s="15" t="s">
        <v>92</v>
      </c>
      <c r="B168" s="35">
        <v>52</v>
      </c>
      <c r="C168" s="34">
        <v>7977</v>
      </c>
    </row>
    <row r="169" spans="1:3" x14ac:dyDescent="0.25">
      <c r="A169" s="15" t="s">
        <v>20</v>
      </c>
      <c r="B169" s="35">
        <v>52</v>
      </c>
      <c r="C169" s="34">
        <v>7363.6</v>
      </c>
    </row>
    <row r="170" spans="1:3" x14ac:dyDescent="0.25">
      <c r="A170" s="15" t="s">
        <v>88</v>
      </c>
      <c r="B170" s="35">
        <v>52</v>
      </c>
      <c r="C170" s="34">
        <v>7363.2</v>
      </c>
    </row>
    <row r="171" spans="1:3" x14ac:dyDescent="0.25">
      <c r="A171" s="15" t="s">
        <v>76</v>
      </c>
      <c r="B171" s="35">
        <v>52</v>
      </c>
      <c r="C171" s="34">
        <v>8284</v>
      </c>
    </row>
    <row r="172" spans="1:3" x14ac:dyDescent="0.25">
      <c r="A172" s="15" t="s">
        <v>30</v>
      </c>
      <c r="B172" s="35">
        <v>51</v>
      </c>
      <c r="C172" s="34">
        <v>7985</v>
      </c>
    </row>
    <row r="173" spans="1:3" x14ac:dyDescent="0.25">
      <c r="A173" s="15" t="s">
        <v>39</v>
      </c>
      <c r="B173" s="35">
        <v>50</v>
      </c>
      <c r="C173" s="34">
        <v>5310</v>
      </c>
    </row>
    <row r="174" spans="1:3" x14ac:dyDescent="0.25">
      <c r="A174" s="15" t="s">
        <v>38</v>
      </c>
      <c r="B174" s="35">
        <v>50</v>
      </c>
      <c r="C174" s="34">
        <v>2625</v>
      </c>
    </row>
    <row r="175" spans="1:3" x14ac:dyDescent="0.25">
      <c r="A175" s="15" t="s">
        <v>45</v>
      </c>
      <c r="B175" s="35">
        <v>40</v>
      </c>
      <c r="C175" s="34">
        <v>5664</v>
      </c>
    </row>
    <row r="176" spans="1:3" x14ac:dyDescent="0.25">
      <c r="A176" s="15" t="s">
        <v>46</v>
      </c>
      <c r="B176" s="35">
        <v>26</v>
      </c>
      <c r="C176" s="34">
        <v>5062.2</v>
      </c>
    </row>
    <row r="177" spans="1:3" x14ac:dyDescent="0.25">
      <c r="A177" s="15" t="s">
        <v>65</v>
      </c>
      <c r="B177" s="35">
        <v>26</v>
      </c>
      <c r="C177" s="34">
        <v>5829</v>
      </c>
    </row>
    <row r="178" spans="1:3" x14ac:dyDescent="0.25">
      <c r="A178" s="15" t="s">
        <v>34</v>
      </c>
      <c r="B178" s="35">
        <v>26</v>
      </c>
      <c r="C178" s="34">
        <v>6197</v>
      </c>
    </row>
    <row r="179" spans="1:3" x14ac:dyDescent="0.25">
      <c r="A179" s="15" t="s">
        <v>35</v>
      </c>
      <c r="B179" s="35">
        <v>26</v>
      </c>
      <c r="C179" s="34">
        <v>23234</v>
      </c>
    </row>
    <row r="180" spans="1:3" x14ac:dyDescent="0.25">
      <c r="A180" s="15" t="s">
        <v>59</v>
      </c>
      <c r="B180" s="35">
        <v>26</v>
      </c>
      <c r="C180" s="34">
        <v>3068</v>
      </c>
    </row>
    <row r="181" spans="1:3" x14ac:dyDescent="0.25">
      <c r="A181" s="15" t="s">
        <v>69</v>
      </c>
      <c r="B181" s="35">
        <v>26</v>
      </c>
      <c r="C181" s="34">
        <v>4909</v>
      </c>
    </row>
    <row r="182" spans="1:3" x14ac:dyDescent="0.25">
      <c r="A182" s="15" t="s">
        <v>24</v>
      </c>
      <c r="B182" s="35">
        <v>26</v>
      </c>
      <c r="C182" s="34">
        <v>519.20000000000005</v>
      </c>
    </row>
    <row r="183" spans="1:3" x14ac:dyDescent="0.25">
      <c r="A183" s="15" t="s">
        <v>79</v>
      </c>
      <c r="B183" s="35">
        <v>26</v>
      </c>
      <c r="C183" s="34">
        <v>61690.400000000001</v>
      </c>
    </row>
    <row r="184" spans="1:3" x14ac:dyDescent="0.25">
      <c r="A184" s="15" t="s">
        <v>112</v>
      </c>
      <c r="B184" s="35">
        <v>24</v>
      </c>
      <c r="C184" s="34">
        <v>7392.0863999999992</v>
      </c>
    </row>
    <row r="185" spans="1:3" x14ac:dyDescent="0.25">
      <c r="A185" s="15" t="s">
        <v>60</v>
      </c>
      <c r="B185" s="35">
        <v>20</v>
      </c>
      <c r="C185" s="34">
        <v>4248</v>
      </c>
    </row>
    <row r="186" spans="1:3" x14ac:dyDescent="0.25">
      <c r="A186" s="15" t="s">
        <v>7</v>
      </c>
      <c r="B186" s="35">
        <v>20</v>
      </c>
      <c r="C186" s="34">
        <v>7198</v>
      </c>
    </row>
    <row r="187" spans="1:3" x14ac:dyDescent="0.25">
      <c r="A187" s="15" t="s">
        <v>58</v>
      </c>
      <c r="B187" s="35">
        <v>20</v>
      </c>
      <c r="C187" s="34">
        <v>2950</v>
      </c>
    </row>
    <row r="188" spans="1:3" x14ac:dyDescent="0.25">
      <c r="A188" s="15" t="s">
        <v>36</v>
      </c>
      <c r="B188" s="35">
        <v>19</v>
      </c>
      <c r="C188" s="34">
        <v>3457</v>
      </c>
    </row>
    <row r="189" spans="1:3" x14ac:dyDescent="0.25">
      <c r="A189" s="15" t="s">
        <v>84</v>
      </c>
      <c r="B189" s="35">
        <v>15</v>
      </c>
      <c r="C189" s="34">
        <v>2596</v>
      </c>
    </row>
    <row r="190" spans="1:3" x14ac:dyDescent="0.25">
      <c r="A190" s="15" t="s">
        <v>23</v>
      </c>
      <c r="B190" s="35">
        <v>15</v>
      </c>
      <c r="C190" s="34">
        <v>1593</v>
      </c>
    </row>
    <row r="191" spans="1:3" x14ac:dyDescent="0.25">
      <c r="A191" s="15" t="s">
        <v>90</v>
      </c>
      <c r="B191" s="35">
        <v>10</v>
      </c>
      <c r="C191" s="34">
        <v>1416</v>
      </c>
    </row>
    <row r="192" spans="1:3" x14ac:dyDescent="0.25">
      <c r="A192" s="15" t="s">
        <v>85</v>
      </c>
      <c r="B192" s="35">
        <v>10</v>
      </c>
      <c r="C192" s="34">
        <v>669</v>
      </c>
    </row>
    <row r="193" spans="1:3" x14ac:dyDescent="0.25">
      <c r="A193" s="15" t="s">
        <v>37</v>
      </c>
      <c r="B193" s="35">
        <v>10</v>
      </c>
      <c r="C193" s="34">
        <v>1298</v>
      </c>
    </row>
    <row r="194" spans="1:3" x14ac:dyDescent="0.25">
      <c r="A194" s="15" t="s">
        <v>48</v>
      </c>
      <c r="B194" s="35">
        <v>10</v>
      </c>
      <c r="C194" s="34">
        <v>1475</v>
      </c>
    </row>
    <row r="195" spans="1:3" x14ac:dyDescent="0.25">
      <c r="A195" s="15" t="s">
        <v>118</v>
      </c>
      <c r="B195" s="35">
        <v>7</v>
      </c>
      <c r="C195" s="34">
        <v>7513.2960000000003</v>
      </c>
    </row>
    <row r="196" spans="1:3" x14ac:dyDescent="0.25">
      <c r="A196" s="15" t="s">
        <v>104</v>
      </c>
      <c r="B196" s="35">
        <v>6</v>
      </c>
      <c r="C196" s="34">
        <v>10266</v>
      </c>
    </row>
    <row r="197" spans="1:3" x14ac:dyDescent="0.25">
      <c r="A197" s="15" t="s">
        <v>77</v>
      </c>
      <c r="B197" s="35">
        <v>5</v>
      </c>
      <c r="C197" s="34">
        <v>767</v>
      </c>
    </row>
    <row r="198" spans="1:3" x14ac:dyDescent="0.25">
      <c r="A198" s="15" t="s">
        <v>31</v>
      </c>
      <c r="B198" s="35">
        <v>3</v>
      </c>
      <c r="C198" s="34">
        <v>319</v>
      </c>
    </row>
    <row r="199" spans="1:3" x14ac:dyDescent="0.25">
      <c r="A199" s="15" t="s">
        <v>110</v>
      </c>
      <c r="B199" s="35">
        <v>2</v>
      </c>
      <c r="C199" s="34">
        <v>8637.6</v>
      </c>
    </row>
    <row r="200" spans="1:3" x14ac:dyDescent="0.25">
      <c r="A200" s="15" t="s">
        <v>70</v>
      </c>
      <c r="B200" s="35">
        <v>2</v>
      </c>
      <c r="C200" s="34">
        <v>283</v>
      </c>
    </row>
    <row r="201" spans="1:3" x14ac:dyDescent="0.25">
      <c r="A201" s="15" t="s">
        <v>62</v>
      </c>
      <c r="B201" s="35">
        <v>1</v>
      </c>
      <c r="C201" s="34">
        <v>230</v>
      </c>
    </row>
    <row r="202" spans="1:3" x14ac:dyDescent="0.25">
      <c r="A202" s="15" t="s">
        <v>135</v>
      </c>
      <c r="B202" s="35">
        <v>270362</v>
      </c>
      <c r="C202" s="34">
        <v>27077812.564600002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17"/>
  <sheetViews>
    <sheetView topLeftCell="A2" workbookViewId="0">
      <selection activeCell="D19" sqref="D19"/>
    </sheetView>
  </sheetViews>
  <sheetFormatPr defaultRowHeight="15" x14ac:dyDescent="0.25"/>
  <cols>
    <col min="1" max="1" width="10.7109375" bestFit="1" customWidth="1"/>
    <col min="2" max="2" width="34.42578125" bestFit="1" customWidth="1"/>
    <col min="3" max="3" width="15.5703125" bestFit="1" customWidth="1"/>
    <col min="4" max="4" width="11" bestFit="1" customWidth="1"/>
    <col min="5" max="5" width="7.28515625" bestFit="1" customWidth="1"/>
    <col min="6" max="6" width="10" bestFit="1" customWidth="1"/>
    <col min="7" max="7" width="13.140625" bestFit="1" customWidth="1"/>
    <col min="8" max="8" width="12" bestFit="1" customWidth="1"/>
    <col min="9" max="9" width="17.7109375" bestFit="1" customWidth="1"/>
  </cols>
  <sheetData>
    <row r="1" spans="1:9" x14ac:dyDescent="0.25">
      <c r="A1" s="31" t="s">
        <v>0</v>
      </c>
      <c r="B1" s="31" t="s">
        <v>40</v>
      </c>
      <c r="C1" s="31" t="s">
        <v>1</v>
      </c>
      <c r="D1" s="31" t="s">
        <v>2</v>
      </c>
      <c r="E1" s="31" t="s">
        <v>3</v>
      </c>
      <c r="F1" s="31" t="s">
        <v>4</v>
      </c>
      <c r="G1" s="31" t="s">
        <v>5</v>
      </c>
      <c r="H1" s="31" t="s">
        <v>41</v>
      </c>
      <c r="I1" s="31" t="s">
        <v>133</v>
      </c>
    </row>
    <row r="2" spans="1:9" x14ac:dyDescent="0.25">
      <c r="A2" s="32">
        <v>45748</v>
      </c>
      <c r="B2" s="31" t="s">
        <v>97</v>
      </c>
      <c r="C2" s="31" t="s">
        <v>8</v>
      </c>
      <c r="D2" s="31">
        <v>30</v>
      </c>
      <c r="E2" s="31">
        <v>200</v>
      </c>
      <c r="F2" s="31">
        <v>6000</v>
      </c>
      <c r="G2" s="31">
        <v>7080</v>
      </c>
      <c r="H2" s="31">
        <v>1080</v>
      </c>
      <c r="I2" s="31" t="s">
        <v>8</v>
      </c>
    </row>
    <row r="3" spans="1:9" x14ac:dyDescent="0.25">
      <c r="A3" s="32">
        <v>45748</v>
      </c>
      <c r="B3" s="31" t="s">
        <v>42</v>
      </c>
      <c r="C3" s="31" t="s">
        <v>8</v>
      </c>
      <c r="D3" s="31">
        <v>245</v>
      </c>
      <c r="E3" s="31">
        <v>90.71</v>
      </c>
      <c r="F3" s="31">
        <v>22225</v>
      </c>
      <c r="G3" s="31">
        <v>26225.5</v>
      </c>
      <c r="H3" s="31">
        <v>4000.5</v>
      </c>
      <c r="I3" s="31" t="s">
        <v>8</v>
      </c>
    </row>
    <row r="4" spans="1:9" x14ac:dyDescent="0.25">
      <c r="A4" s="32">
        <v>45748</v>
      </c>
      <c r="B4" s="31" t="s">
        <v>95</v>
      </c>
      <c r="C4" s="31" t="s">
        <v>8</v>
      </c>
      <c r="D4" s="31">
        <v>85</v>
      </c>
      <c r="E4" s="31">
        <v>100.12</v>
      </c>
      <c r="F4" s="31">
        <v>8510</v>
      </c>
      <c r="G4" s="31">
        <v>10041.799999999999</v>
      </c>
      <c r="H4" s="31">
        <v>1531.8</v>
      </c>
      <c r="I4" s="31" t="s">
        <v>8</v>
      </c>
    </row>
    <row r="5" spans="1:9" x14ac:dyDescent="0.25">
      <c r="A5" s="32">
        <v>45748</v>
      </c>
      <c r="B5" s="31" t="s">
        <v>95</v>
      </c>
      <c r="C5" s="31" t="s">
        <v>8</v>
      </c>
      <c r="D5" s="31">
        <v>220</v>
      </c>
      <c r="E5" s="31">
        <v>55</v>
      </c>
      <c r="F5" s="31">
        <v>12100</v>
      </c>
      <c r="G5" s="31">
        <v>14278</v>
      </c>
      <c r="H5" s="31">
        <v>2178</v>
      </c>
      <c r="I5" s="31" t="s">
        <v>8</v>
      </c>
    </row>
    <row r="6" spans="1:9" x14ac:dyDescent="0.25">
      <c r="A6" s="32">
        <v>45748</v>
      </c>
      <c r="B6" s="31" t="s">
        <v>100</v>
      </c>
      <c r="C6" s="31" t="s">
        <v>8</v>
      </c>
      <c r="D6" s="31">
        <v>26</v>
      </c>
      <c r="E6" s="31">
        <v>107</v>
      </c>
      <c r="F6" s="31">
        <v>2782</v>
      </c>
      <c r="G6" s="31">
        <v>3282.76</v>
      </c>
      <c r="H6" s="31">
        <v>500.76</v>
      </c>
      <c r="I6" s="31" t="s">
        <v>8</v>
      </c>
    </row>
    <row r="7" spans="1:9" x14ac:dyDescent="0.25">
      <c r="A7" s="32">
        <v>45748</v>
      </c>
      <c r="B7" s="31" t="s">
        <v>93</v>
      </c>
      <c r="C7" s="31" t="s">
        <v>8</v>
      </c>
      <c r="D7" s="31">
        <v>5</v>
      </c>
      <c r="E7" s="31">
        <v>60</v>
      </c>
      <c r="F7" s="31">
        <v>300</v>
      </c>
      <c r="G7" s="31">
        <v>354</v>
      </c>
      <c r="H7" s="31">
        <v>54</v>
      </c>
      <c r="I7" s="31" t="s">
        <v>8</v>
      </c>
    </row>
    <row r="8" spans="1:9" x14ac:dyDescent="0.25">
      <c r="A8" s="32">
        <v>45748</v>
      </c>
      <c r="B8" s="31" t="s">
        <v>9</v>
      </c>
      <c r="C8" s="31" t="s">
        <v>8</v>
      </c>
      <c r="D8" s="31">
        <v>1</v>
      </c>
      <c r="E8" s="31">
        <v>300</v>
      </c>
      <c r="F8" s="31">
        <v>300</v>
      </c>
      <c r="G8" s="31">
        <v>354</v>
      </c>
      <c r="H8" s="31">
        <v>54</v>
      </c>
      <c r="I8" s="31" t="s">
        <v>8</v>
      </c>
    </row>
    <row r="9" spans="1:9" x14ac:dyDescent="0.25">
      <c r="A9" s="32">
        <v>45748</v>
      </c>
      <c r="B9" s="31" t="s">
        <v>101</v>
      </c>
      <c r="C9" s="31" t="s">
        <v>8</v>
      </c>
      <c r="D9" s="31">
        <v>70</v>
      </c>
      <c r="E9" s="31">
        <v>165</v>
      </c>
      <c r="F9" s="31">
        <v>11550</v>
      </c>
      <c r="G9" s="31">
        <v>13629</v>
      </c>
      <c r="H9" s="31">
        <v>2079</v>
      </c>
      <c r="I9" s="31" t="s">
        <v>8</v>
      </c>
    </row>
    <row r="10" spans="1:9" x14ac:dyDescent="0.25">
      <c r="A10" s="32">
        <v>45749</v>
      </c>
      <c r="B10" s="31" t="s">
        <v>51</v>
      </c>
      <c r="C10" s="31" t="s">
        <v>8</v>
      </c>
      <c r="D10" s="31">
        <v>349</v>
      </c>
      <c r="E10" s="31">
        <v>88.83</v>
      </c>
      <c r="F10" s="31">
        <v>31000</v>
      </c>
      <c r="G10" s="31">
        <v>36580</v>
      </c>
      <c r="H10" s="31">
        <v>5580</v>
      </c>
      <c r="I10" s="31" t="s">
        <v>8</v>
      </c>
    </row>
    <row r="11" spans="1:9" x14ac:dyDescent="0.25">
      <c r="A11" s="32">
        <v>45749</v>
      </c>
      <c r="B11" s="31" t="s">
        <v>48</v>
      </c>
      <c r="C11" s="31" t="s">
        <v>8</v>
      </c>
      <c r="D11" s="31">
        <v>10</v>
      </c>
      <c r="E11" s="31">
        <v>125</v>
      </c>
      <c r="F11" s="31">
        <v>1250</v>
      </c>
      <c r="G11" s="31">
        <v>1475</v>
      </c>
      <c r="H11" s="31">
        <v>225</v>
      </c>
      <c r="I11" s="31" t="s">
        <v>8</v>
      </c>
    </row>
    <row r="12" spans="1:9" x14ac:dyDescent="0.25">
      <c r="A12" s="32">
        <v>45749</v>
      </c>
      <c r="B12" s="31" t="s">
        <v>79</v>
      </c>
      <c r="C12" s="31" t="s">
        <v>8</v>
      </c>
      <c r="D12" s="31">
        <v>26</v>
      </c>
      <c r="E12" s="31">
        <v>115</v>
      </c>
      <c r="F12" s="31">
        <v>52280</v>
      </c>
      <c r="G12" s="31">
        <v>61690.400000000001</v>
      </c>
      <c r="H12" s="31">
        <v>9410.4</v>
      </c>
      <c r="I12" s="31" t="s">
        <v>8</v>
      </c>
    </row>
    <row r="13" spans="1:9" x14ac:dyDescent="0.25">
      <c r="A13" s="32">
        <v>45749</v>
      </c>
      <c r="B13" s="31" t="s">
        <v>94</v>
      </c>
      <c r="C13" s="31" t="s">
        <v>8</v>
      </c>
      <c r="D13" s="31">
        <v>26</v>
      </c>
      <c r="E13" s="31">
        <v>115</v>
      </c>
      <c r="F13" s="31">
        <v>38312</v>
      </c>
      <c r="G13" s="31">
        <v>45208.160000000003</v>
      </c>
      <c r="H13" s="31">
        <v>6896.16</v>
      </c>
      <c r="I13" s="31" t="s">
        <v>8</v>
      </c>
    </row>
    <row r="14" spans="1:9" x14ac:dyDescent="0.25">
      <c r="A14" s="32">
        <v>45749</v>
      </c>
      <c r="B14" s="31" t="s">
        <v>10</v>
      </c>
      <c r="C14" s="31" t="s">
        <v>8</v>
      </c>
      <c r="D14" s="31">
        <v>52</v>
      </c>
      <c r="E14" s="31">
        <v>127.5</v>
      </c>
      <c r="F14" s="31">
        <v>6630</v>
      </c>
      <c r="G14" s="31">
        <v>7823.4</v>
      </c>
      <c r="H14" s="31">
        <v>1193.3999999999999</v>
      </c>
      <c r="I14" s="31" t="s">
        <v>8</v>
      </c>
    </row>
    <row r="15" spans="1:9" x14ac:dyDescent="0.25">
      <c r="A15" s="32">
        <v>45749</v>
      </c>
      <c r="B15" s="31" t="s">
        <v>86</v>
      </c>
      <c r="C15" s="31" t="s">
        <v>8</v>
      </c>
      <c r="D15" s="31">
        <v>52</v>
      </c>
      <c r="E15" s="31">
        <v>137</v>
      </c>
      <c r="F15" s="31">
        <v>7124</v>
      </c>
      <c r="G15" s="31">
        <v>8406.32</v>
      </c>
      <c r="H15" s="31">
        <v>1282.32</v>
      </c>
      <c r="I15" s="31" t="s">
        <v>8</v>
      </c>
    </row>
    <row r="16" spans="1:9" x14ac:dyDescent="0.25">
      <c r="A16" s="32">
        <v>45749</v>
      </c>
      <c r="B16" s="31" t="s">
        <v>11</v>
      </c>
      <c r="C16" s="31" t="s">
        <v>8</v>
      </c>
      <c r="D16" s="31">
        <v>70</v>
      </c>
      <c r="E16" s="31">
        <v>77.5</v>
      </c>
      <c r="F16" s="31">
        <v>5425</v>
      </c>
      <c r="G16" s="31">
        <v>6401.5</v>
      </c>
      <c r="H16" s="31">
        <v>976.5</v>
      </c>
      <c r="I16" s="31" t="s">
        <v>8</v>
      </c>
    </row>
    <row r="17" spans="1:9" x14ac:dyDescent="0.25">
      <c r="A17" s="32">
        <v>45749</v>
      </c>
      <c r="B17" s="31" t="s">
        <v>53</v>
      </c>
      <c r="C17" s="31" t="s">
        <v>8</v>
      </c>
      <c r="D17" s="31">
        <v>20</v>
      </c>
      <c r="E17" s="31">
        <v>175</v>
      </c>
      <c r="F17" s="31">
        <v>3500</v>
      </c>
      <c r="G17" s="31">
        <v>4130</v>
      </c>
      <c r="H17" s="31">
        <v>630</v>
      </c>
      <c r="I17" s="31" t="s">
        <v>8</v>
      </c>
    </row>
    <row r="18" spans="1:9" x14ac:dyDescent="0.25">
      <c r="A18" s="32">
        <v>45749</v>
      </c>
      <c r="B18" s="31" t="s">
        <v>93</v>
      </c>
      <c r="C18" s="31" t="s">
        <v>8</v>
      </c>
      <c r="D18" s="31">
        <v>104</v>
      </c>
      <c r="E18" s="31">
        <v>102</v>
      </c>
      <c r="F18" s="31">
        <v>10608</v>
      </c>
      <c r="G18" s="31">
        <v>12517.44</v>
      </c>
      <c r="H18" s="31">
        <v>1909.4399999999998</v>
      </c>
      <c r="I18" s="31" t="s">
        <v>8</v>
      </c>
    </row>
    <row r="19" spans="1:9" x14ac:dyDescent="0.25">
      <c r="A19" s="32">
        <v>45749</v>
      </c>
      <c r="B19" s="31" t="s">
        <v>100</v>
      </c>
      <c r="C19" s="31" t="s">
        <v>8</v>
      </c>
      <c r="D19" s="31">
        <v>36</v>
      </c>
      <c r="E19" s="31">
        <v>135</v>
      </c>
      <c r="F19" s="31">
        <v>4860</v>
      </c>
      <c r="G19" s="31">
        <v>5734.8</v>
      </c>
      <c r="H19" s="31">
        <v>874.8</v>
      </c>
      <c r="I19" s="31" t="s">
        <v>8</v>
      </c>
    </row>
    <row r="20" spans="1:9" x14ac:dyDescent="0.25">
      <c r="A20" s="32">
        <v>45749</v>
      </c>
      <c r="B20" s="31" t="s">
        <v>95</v>
      </c>
      <c r="C20" s="31" t="s">
        <v>8</v>
      </c>
      <c r="D20" s="31">
        <v>88</v>
      </c>
      <c r="E20" s="31">
        <v>118.77</v>
      </c>
      <c r="F20" s="31">
        <v>10452</v>
      </c>
      <c r="G20" s="31">
        <v>12333.36</v>
      </c>
      <c r="H20" s="31">
        <v>1881.36</v>
      </c>
      <c r="I20" s="31" t="s">
        <v>8</v>
      </c>
    </row>
    <row r="21" spans="1:9" x14ac:dyDescent="0.25">
      <c r="A21" s="32">
        <v>45751</v>
      </c>
      <c r="B21" s="31" t="s">
        <v>96</v>
      </c>
      <c r="C21" s="31" t="s">
        <v>8</v>
      </c>
      <c r="D21" s="31">
        <v>630</v>
      </c>
      <c r="E21" s="31">
        <v>55</v>
      </c>
      <c r="F21" s="31">
        <v>34650</v>
      </c>
      <c r="G21" s="31">
        <v>40887</v>
      </c>
      <c r="H21" s="31">
        <v>6237</v>
      </c>
      <c r="I21" s="31" t="s">
        <v>8</v>
      </c>
    </row>
    <row r="22" spans="1:9" x14ac:dyDescent="0.25">
      <c r="A22" s="32">
        <v>45751</v>
      </c>
      <c r="B22" s="31" t="s">
        <v>86</v>
      </c>
      <c r="C22" s="31" t="s">
        <v>8</v>
      </c>
      <c r="D22" s="31">
        <v>210</v>
      </c>
      <c r="E22" s="31">
        <v>80</v>
      </c>
      <c r="F22" s="31">
        <v>16800</v>
      </c>
      <c r="G22" s="31">
        <v>19824</v>
      </c>
      <c r="H22" s="31">
        <v>3024</v>
      </c>
      <c r="I22" s="31" t="s">
        <v>8</v>
      </c>
    </row>
    <row r="23" spans="1:9" x14ac:dyDescent="0.25">
      <c r="A23" s="32">
        <v>45751</v>
      </c>
      <c r="B23" s="31" t="s">
        <v>93</v>
      </c>
      <c r="C23" s="31" t="s">
        <v>8</v>
      </c>
      <c r="D23" s="31">
        <v>130</v>
      </c>
      <c r="E23" s="31">
        <v>115</v>
      </c>
      <c r="F23" s="31">
        <v>14950</v>
      </c>
      <c r="G23" s="31">
        <v>17641</v>
      </c>
      <c r="H23" s="31">
        <v>2691</v>
      </c>
      <c r="I23" s="31" t="s">
        <v>8</v>
      </c>
    </row>
    <row r="24" spans="1:9" x14ac:dyDescent="0.25">
      <c r="A24" s="32">
        <v>45751</v>
      </c>
      <c r="B24" s="31" t="s">
        <v>100</v>
      </c>
      <c r="C24" s="31" t="s">
        <v>8</v>
      </c>
      <c r="D24" s="31">
        <v>210</v>
      </c>
      <c r="E24" s="31">
        <v>99</v>
      </c>
      <c r="F24" s="31">
        <v>20790</v>
      </c>
      <c r="G24" s="31">
        <v>24532.2</v>
      </c>
      <c r="H24" s="31">
        <v>3742.2</v>
      </c>
      <c r="I24" s="31" t="s">
        <v>8</v>
      </c>
    </row>
    <row r="25" spans="1:9" x14ac:dyDescent="0.25">
      <c r="A25" s="32">
        <v>45751</v>
      </c>
      <c r="B25" s="31" t="s">
        <v>12</v>
      </c>
      <c r="C25" s="31" t="s">
        <v>8</v>
      </c>
      <c r="D25" s="31">
        <v>210</v>
      </c>
      <c r="E25" s="31">
        <v>75</v>
      </c>
      <c r="F25" s="31">
        <v>15750</v>
      </c>
      <c r="G25" s="31">
        <v>18585</v>
      </c>
      <c r="H25" s="31">
        <v>2835</v>
      </c>
      <c r="I25" s="31" t="s">
        <v>8</v>
      </c>
    </row>
    <row r="26" spans="1:9" x14ac:dyDescent="0.25">
      <c r="A26" s="32">
        <v>45751</v>
      </c>
      <c r="B26" s="31" t="s">
        <v>53</v>
      </c>
      <c r="C26" s="31" t="s">
        <v>8</v>
      </c>
      <c r="D26" s="31">
        <v>20</v>
      </c>
      <c r="E26" s="31">
        <v>165</v>
      </c>
      <c r="F26" s="31">
        <v>3300</v>
      </c>
      <c r="G26" s="31">
        <v>3894</v>
      </c>
      <c r="H26" s="31">
        <v>594</v>
      </c>
      <c r="I26" s="31" t="s">
        <v>8</v>
      </c>
    </row>
    <row r="27" spans="1:9" x14ac:dyDescent="0.25">
      <c r="A27" s="32">
        <v>45751</v>
      </c>
      <c r="B27" s="31" t="s">
        <v>100</v>
      </c>
      <c r="C27" s="31" t="s">
        <v>8</v>
      </c>
      <c r="D27" s="31">
        <v>26</v>
      </c>
      <c r="E27" s="31">
        <v>115</v>
      </c>
      <c r="F27" s="31">
        <v>12870</v>
      </c>
      <c r="G27" s="31">
        <v>15186.6</v>
      </c>
      <c r="H27" s="31">
        <v>2316.6</v>
      </c>
      <c r="I27" s="31" t="s">
        <v>8</v>
      </c>
    </row>
    <row r="28" spans="1:9" x14ac:dyDescent="0.25">
      <c r="A28" s="32">
        <v>45751</v>
      </c>
      <c r="B28" s="31" t="s">
        <v>52</v>
      </c>
      <c r="C28" s="31" t="s">
        <v>8</v>
      </c>
      <c r="D28" s="31">
        <v>210</v>
      </c>
      <c r="E28" s="31">
        <v>80</v>
      </c>
      <c r="F28" s="31">
        <v>16800</v>
      </c>
      <c r="G28" s="31">
        <v>19824</v>
      </c>
      <c r="H28" s="31">
        <v>3024</v>
      </c>
      <c r="I28" s="31" t="s">
        <v>8</v>
      </c>
    </row>
    <row r="29" spans="1:9" x14ac:dyDescent="0.25">
      <c r="A29" s="32">
        <v>45751</v>
      </c>
      <c r="B29" s="31" t="s">
        <v>100</v>
      </c>
      <c r="C29" s="31" t="s">
        <v>8</v>
      </c>
      <c r="D29" s="31">
        <v>28</v>
      </c>
      <c r="E29" s="31">
        <v>129.29</v>
      </c>
      <c r="F29" s="31">
        <v>3620</v>
      </c>
      <c r="G29" s="31">
        <v>4271.6000000000004</v>
      </c>
      <c r="H29" s="31">
        <v>651.6</v>
      </c>
      <c r="I29" s="31" t="s">
        <v>8</v>
      </c>
    </row>
    <row r="30" spans="1:9" x14ac:dyDescent="0.25">
      <c r="A30" s="32">
        <v>45751</v>
      </c>
      <c r="B30" s="31" t="s">
        <v>93</v>
      </c>
      <c r="C30" s="31" t="s">
        <v>8</v>
      </c>
      <c r="D30" s="31">
        <v>840</v>
      </c>
      <c r="E30" s="31">
        <v>76.25</v>
      </c>
      <c r="F30" s="31">
        <v>64050</v>
      </c>
      <c r="G30" s="31">
        <v>75579</v>
      </c>
      <c r="H30" s="31">
        <v>11529</v>
      </c>
      <c r="I30" s="31" t="s">
        <v>8</v>
      </c>
    </row>
    <row r="31" spans="1:9" x14ac:dyDescent="0.25">
      <c r="A31" s="32">
        <v>45752</v>
      </c>
      <c r="B31" s="31" t="s">
        <v>96</v>
      </c>
      <c r="C31" s="31" t="s">
        <v>8</v>
      </c>
      <c r="D31" s="31">
        <v>122</v>
      </c>
      <c r="E31" s="31">
        <v>86.49</v>
      </c>
      <c r="F31" s="31">
        <v>10552</v>
      </c>
      <c r="G31" s="31">
        <v>12451.36</v>
      </c>
      <c r="H31" s="31">
        <v>1899.36</v>
      </c>
      <c r="I31" s="31" t="s">
        <v>8</v>
      </c>
    </row>
    <row r="32" spans="1:9" x14ac:dyDescent="0.25">
      <c r="A32" s="32">
        <v>45752</v>
      </c>
      <c r="B32" s="31" t="s">
        <v>95</v>
      </c>
      <c r="C32" s="31" t="s">
        <v>8</v>
      </c>
      <c r="D32" s="31">
        <v>220</v>
      </c>
      <c r="E32" s="31">
        <v>55</v>
      </c>
      <c r="F32" s="31">
        <v>12100</v>
      </c>
      <c r="G32" s="31">
        <v>14278</v>
      </c>
      <c r="H32" s="31">
        <v>2178</v>
      </c>
      <c r="I32" s="31" t="s">
        <v>8</v>
      </c>
    </row>
    <row r="33" spans="1:9" x14ac:dyDescent="0.25">
      <c r="A33" s="32">
        <v>45752</v>
      </c>
      <c r="B33" s="31" t="s">
        <v>100</v>
      </c>
      <c r="C33" s="31" t="s">
        <v>8</v>
      </c>
      <c r="D33" s="31">
        <v>420</v>
      </c>
      <c r="E33" s="31">
        <v>103</v>
      </c>
      <c r="F33" s="31">
        <v>43260</v>
      </c>
      <c r="G33" s="31">
        <v>51046.8</v>
      </c>
      <c r="H33" s="31">
        <v>7786.7999999999993</v>
      </c>
      <c r="I33" s="31" t="s">
        <v>8</v>
      </c>
    </row>
    <row r="34" spans="1:9" x14ac:dyDescent="0.25">
      <c r="A34" s="32">
        <v>45752</v>
      </c>
      <c r="B34" s="31" t="s">
        <v>78</v>
      </c>
      <c r="C34" s="31" t="s">
        <v>8</v>
      </c>
      <c r="D34" s="31">
        <v>63</v>
      </c>
      <c r="E34" s="31">
        <v>113.57</v>
      </c>
      <c r="F34" s="31">
        <v>7155</v>
      </c>
      <c r="G34" s="31">
        <v>8442.9</v>
      </c>
      <c r="H34" s="31">
        <v>1287.8999999999999</v>
      </c>
      <c r="I34" s="31" t="s">
        <v>8</v>
      </c>
    </row>
    <row r="35" spans="1:9" x14ac:dyDescent="0.25">
      <c r="A35" s="32">
        <v>45752</v>
      </c>
      <c r="B35" s="31" t="s">
        <v>96</v>
      </c>
      <c r="C35" s="31" t="s">
        <v>8</v>
      </c>
      <c r="D35" s="31">
        <v>210</v>
      </c>
      <c r="E35" s="31">
        <v>62</v>
      </c>
      <c r="F35" s="31">
        <v>13020</v>
      </c>
      <c r="G35" s="31">
        <v>15363.6</v>
      </c>
      <c r="H35" s="31">
        <v>2343.6</v>
      </c>
      <c r="I35" s="31" t="s">
        <v>8</v>
      </c>
    </row>
    <row r="36" spans="1:9" x14ac:dyDescent="0.25">
      <c r="A36" s="32">
        <v>45752</v>
      </c>
      <c r="B36" s="31" t="s">
        <v>7</v>
      </c>
      <c r="C36" s="31" t="s">
        <v>8</v>
      </c>
      <c r="D36" s="31">
        <v>20</v>
      </c>
      <c r="E36" s="31">
        <v>305</v>
      </c>
      <c r="F36" s="31">
        <v>6100</v>
      </c>
      <c r="G36" s="31">
        <v>7198</v>
      </c>
      <c r="H36" s="31">
        <v>1098</v>
      </c>
      <c r="I36" s="31" t="s">
        <v>8</v>
      </c>
    </row>
    <row r="37" spans="1:9" x14ac:dyDescent="0.25">
      <c r="A37" s="32">
        <v>45753</v>
      </c>
      <c r="B37" s="31" t="s">
        <v>42</v>
      </c>
      <c r="C37" s="31" t="s">
        <v>8</v>
      </c>
      <c r="D37" s="31">
        <v>113</v>
      </c>
      <c r="E37" s="31">
        <v>112.26</v>
      </c>
      <c r="F37" s="31">
        <v>12685</v>
      </c>
      <c r="G37" s="31">
        <v>14968.3</v>
      </c>
      <c r="H37" s="31">
        <v>2283.2999999999997</v>
      </c>
      <c r="I37" s="31" t="s">
        <v>8</v>
      </c>
    </row>
    <row r="38" spans="1:9" x14ac:dyDescent="0.25">
      <c r="A38" s="32">
        <v>45753</v>
      </c>
      <c r="B38" s="31" t="s">
        <v>82</v>
      </c>
      <c r="C38" s="31" t="s">
        <v>8</v>
      </c>
      <c r="D38" s="31">
        <v>420</v>
      </c>
      <c r="E38" s="31">
        <v>92</v>
      </c>
      <c r="F38" s="31">
        <v>38640</v>
      </c>
      <c r="G38" s="31">
        <v>45595.199999999997</v>
      </c>
      <c r="H38" s="31">
        <v>6955.2</v>
      </c>
      <c r="I38" s="31" t="s">
        <v>8</v>
      </c>
    </row>
    <row r="39" spans="1:9" x14ac:dyDescent="0.25">
      <c r="A39" s="32">
        <v>45753</v>
      </c>
      <c r="B39" s="31" t="s">
        <v>100</v>
      </c>
      <c r="C39" s="31" t="s">
        <v>8</v>
      </c>
      <c r="D39" s="31">
        <v>35</v>
      </c>
      <c r="E39" s="31">
        <v>75</v>
      </c>
      <c r="F39" s="31">
        <v>2625</v>
      </c>
      <c r="G39" s="31">
        <v>3097.5</v>
      </c>
      <c r="H39" s="31">
        <v>472.5</v>
      </c>
      <c r="I39" s="31" t="s">
        <v>8</v>
      </c>
    </row>
    <row r="40" spans="1:9" x14ac:dyDescent="0.25">
      <c r="A40" s="32">
        <v>45753</v>
      </c>
      <c r="B40" s="31" t="s">
        <v>13</v>
      </c>
      <c r="C40" s="31" t="s">
        <v>8</v>
      </c>
      <c r="D40" s="31">
        <v>1050</v>
      </c>
      <c r="E40" s="31">
        <v>62</v>
      </c>
      <c r="F40" s="31">
        <v>65100</v>
      </c>
      <c r="G40" s="31">
        <v>76818</v>
      </c>
      <c r="H40" s="31">
        <v>11718</v>
      </c>
      <c r="I40" s="31" t="s">
        <v>8</v>
      </c>
    </row>
    <row r="41" spans="1:9" x14ac:dyDescent="0.25">
      <c r="A41" s="32">
        <v>45753</v>
      </c>
      <c r="B41" s="31" t="s">
        <v>94</v>
      </c>
      <c r="C41" s="31" t="s">
        <v>8</v>
      </c>
      <c r="D41" s="31">
        <v>26</v>
      </c>
      <c r="E41" s="31">
        <v>115</v>
      </c>
      <c r="F41" s="31">
        <v>2412.75</v>
      </c>
      <c r="G41" s="31">
        <v>2847.0450000000001</v>
      </c>
      <c r="H41" s="31">
        <v>434.29499999999996</v>
      </c>
      <c r="I41" s="31" t="s">
        <v>8</v>
      </c>
    </row>
    <row r="42" spans="1:9" x14ac:dyDescent="0.25">
      <c r="A42" s="32">
        <v>45753</v>
      </c>
      <c r="B42" s="31" t="s">
        <v>14</v>
      </c>
      <c r="C42" s="31" t="s">
        <v>8</v>
      </c>
      <c r="D42" s="31">
        <v>26</v>
      </c>
      <c r="E42" s="31">
        <v>108</v>
      </c>
      <c r="F42" s="31">
        <v>2808</v>
      </c>
      <c r="G42" s="31">
        <v>3313.44</v>
      </c>
      <c r="H42" s="31">
        <v>505.44</v>
      </c>
      <c r="I42" s="31" t="s">
        <v>8</v>
      </c>
    </row>
    <row r="43" spans="1:9" x14ac:dyDescent="0.25">
      <c r="A43" s="32">
        <v>45753</v>
      </c>
      <c r="B43" s="31" t="s">
        <v>15</v>
      </c>
      <c r="C43" s="31" t="s">
        <v>8</v>
      </c>
      <c r="D43" s="31">
        <v>50</v>
      </c>
      <c r="E43" s="31">
        <v>72</v>
      </c>
      <c r="F43" s="31">
        <v>3600</v>
      </c>
      <c r="G43" s="31">
        <v>4248</v>
      </c>
      <c r="H43" s="31">
        <v>648</v>
      </c>
      <c r="I43" s="31" t="s">
        <v>8</v>
      </c>
    </row>
    <row r="44" spans="1:9" x14ac:dyDescent="0.25">
      <c r="A44" s="32">
        <v>45753</v>
      </c>
      <c r="B44" s="31" t="s">
        <v>102</v>
      </c>
      <c r="C44" s="31" t="s">
        <v>8</v>
      </c>
      <c r="D44" s="31">
        <v>2</v>
      </c>
      <c r="E44" s="31">
        <v>380</v>
      </c>
      <c r="F44" s="31">
        <v>760</v>
      </c>
      <c r="G44" s="31">
        <v>896.8</v>
      </c>
      <c r="H44" s="31">
        <v>136.79999999999998</v>
      </c>
      <c r="I44" s="31" t="s">
        <v>8</v>
      </c>
    </row>
    <row r="45" spans="1:9" x14ac:dyDescent="0.25">
      <c r="A45" s="32">
        <v>45753</v>
      </c>
      <c r="B45" s="31" t="s">
        <v>83</v>
      </c>
      <c r="C45" s="31" t="s">
        <v>8</v>
      </c>
      <c r="D45" s="31">
        <v>26</v>
      </c>
      <c r="E45" s="31">
        <v>116</v>
      </c>
      <c r="F45" s="31">
        <v>3016</v>
      </c>
      <c r="G45" s="31">
        <v>3558.88</v>
      </c>
      <c r="H45" s="31">
        <v>542.88</v>
      </c>
      <c r="I45" s="31" t="s">
        <v>8</v>
      </c>
    </row>
    <row r="46" spans="1:9" x14ac:dyDescent="0.25">
      <c r="A46" s="32">
        <v>45753</v>
      </c>
      <c r="B46" s="31" t="s">
        <v>96</v>
      </c>
      <c r="C46" s="31" t="s">
        <v>8</v>
      </c>
      <c r="D46" s="31">
        <v>52</v>
      </c>
      <c r="E46" s="31">
        <v>105</v>
      </c>
      <c r="F46" s="31">
        <v>5460</v>
      </c>
      <c r="G46" s="31">
        <v>6442.8</v>
      </c>
      <c r="H46" s="31">
        <v>982.8</v>
      </c>
      <c r="I46" s="31" t="s">
        <v>8</v>
      </c>
    </row>
    <row r="47" spans="1:9" x14ac:dyDescent="0.25">
      <c r="A47" s="32">
        <v>45753</v>
      </c>
      <c r="B47" s="31" t="s">
        <v>66</v>
      </c>
      <c r="C47" s="31" t="s">
        <v>8</v>
      </c>
      <c r="D47" s="31">
        <v>104</v>
      </c>
      <c r="E47" s="31">
        <v>120</v>
      </c>
      <c r="F47" s="31">
        <v>12480</v>
      </c>
      <c r="G47" s="31">
        <v>14726.4</v>
      </c>
      <c r="H47" s="31">
        <v>2246.4</v>
      </c>
      <c r="I47" s="31" t="s">
        <v>8</v>
      </c>
    </row>
    <row r="48" spans="1:9" x14ac:dyDescent="0.25">
      <c r="A48" s="32">
        <v>45754</v>
      </c>
      <c r="B48" s="31" t="s">
        <v>100</v>
      </c>
      <c r="C48" s="31" t="s">
        <v>8</v>
      </c>
      <c r="D48" s="31">
        <v>26</v>
      </c>
      <c r="E48" s="31">
        <v>136</v>
      </c>
      <c r="F48" s="31">
        <v>3536</v>
      </c>
      <c r="G48" s="31">
        <v>4172.4799999999996</v>
      </c>
      <c r="H48" s="31">
        <v>636.48</v>
      </c>
      <c r="I48" s="31" t="s">
        <v>8</v>
      </c>
    </row>
    <row r="49" spans="1:9" x14ac:dyDescent="0.25">
      <c r="A49" s="32">
        <v>45754</v>
      </c>
      <c r="B49" s="31" t="s">
        <v>91</v>
      </c>
      <c r="C49" s="31" t="s">
        <v>8</v>
      </c>
      <c r="D49" s="31">
        <v>211</v>
      </c>
      <c r="E49" s="31">
        <v>118.39</v>
      </c>
      <c r="F49" s="31">
        <v>24980</v>
      </c>
      <c r="G49" s="31">
        <v>29476.400000000001</v>
      </c>
      <c r="H49" s="31">
        <v>4496.3999999999996</v>
      </c>
      <c r="I49" s="31" t="s">
        <v>8</v>
      </c>
    </row>
    <row r="50" spans="1:9" x14ac:dyDescent="0.25">
      <c r="A50" s="32">
        <v>45754</v>
      </c>
      <c r="B50" s="31" t="s">
        <v>42</v>
      </c>
      <c r="C50" s="31" t="s">
        <v>8</v>
      </c>
      <c r="D50" s="31">
        <v>210</v>
      </c>
      <c r="E50" s="31">
        <v>120</v>
      </c>
      <c r="F50" s="31">
        <v>25200</v>
      </c>
      <c r="G50" s="31">
        <v>29736</v>
      </c>
      <c r="H50" s="31">
        <v>4536</v>
      </c>
      <c r="I50" s="31" t="s">
        <v>8</v>
      </c>
    </row>
    <row r="51" spans="1:9" x14ac:dyDescent="0.25">
      <c r="A51" s="32">
        <v>45754</v>
      </c>
      <c r="B51" s="31" t="s">
        <v>96</v>
      </c>
      <c r="C51" s="31" t="s">
        <v>8</v>
      </c>
      <c r="D51" s="31">
        <v>26</v>
      </c>
      <c r="E51" s="31">
        <v>115</v>
      </c>
      <c r="F51" s="31">
        <v>21580</v>
      </c>
      <c r="G51" s="31">
        <v>25464.400000000001</v>
      </c>
      <c r="H51" s="31">
        <v>3884.3999999999996</v>
      </c>
      <c r="I51" s="31" t="s">
        <v>8</v>
      </c>
    </row>
    <row r="52" spans="1:9" x14ac:dyDescent="0.25">
      <c r="A52" s="32">
        <v>45754</v>
      </c>
      <c r="B52" s="31" t="s">
        <v>90</v>
      </c>
      <c r="C52" s="31" t="s">
        <v>8</v>
      </c>
      <c r="D52" s="31">
        <v>5</v>
      </c>
      <c r="E52" s="31">
        <v>120</v>
      </c>
      <c r="F52" s="31">
        <v>600</v>
      </c>
      <c r="G52" s="31">
        <v>708</v>
      </c>
      <c r="H52" s="31">
        <v>108</v>
      </c>
      <c r="I52" s="31" t="s">
        <v>8</v>
      </c>
    </row>
    <row r="53" spans="1:9" x14ac:dyDescent="0.25">
      <c r="A53" s="32">
        <v>45754</v>
      </c>
      <c r="B53" s="31" t="s">
        <v>15</v>
      </c>
      <c r="C53" s="31" t="s">
        <v>8</v>
      </c>
      <c r="D53" s="31">
        <v>48</v>
      </c>
      <c r="E53" s="31">
        <v>220</v>
      </c>
      <c r="F53" s="31">
        <v>10560</v>
      </c>
      <c r="G53" s="31">
        <v>12460.8</v>
      </c>
      <c r="H53" s="31">
        <v>1900.8</v>
      </c>
      <c r="I53" s="31" t="s">
        <v>8</v>
      </c>
    </row>
    <row r="54" spans="1:9" x14ac:dyDescent="0.25">
      <c r="A54" s="32">
        <v>45754</v>
      </c>
      <c r="B54" s="31" t="s">
        <v>94</v>
      </c>
      <c r="C54" s="31" t="s">
        <v>8</v>
      </c>
      <c r="D54" s="31">
        <v>26</v>
      </c>
      <c r="E54" s="31">
        <v>125</v>
      </c>
      <c r="F54" s="31">
        <v>3250</v>
      </c>
      <c r="G54" s="31">
        <v>3835</v>
      </c>
      <c r="H54" s="31">
        <v>585</v>
      </c>
      <c r="I54" s="31" t="s">
        <v>8</v>
      </c>
    </row>
    <row r="55" spans="1:9" x14ac:dyDescent="0.25">
      <c r="A55" s="32">
        <v>45754</v>
      </c>
      <c r="B55" s="31" t="s">
        <v>96</v>
      </c>
      <c r="C55" s="31" t="s">
        <v>8</v>
      </c>
      <c r="D55" s="31">
        <v>52</v>
      </c>
      <c r="E55" s="31">
        <v>100</v>
      </c>
      <c r="F55" s="31">
        <v>5200</v>
      </c>
      <c r="G55" s="31">
        <v>6136</v>
      </c>
      <c r="H55" s="31">
        <v>936</v>
      </c>
      <c r="I55" s="31" t="s">
        <v>8</v>
      </c>
    </row>
    <row r="56" spans="1:9" x14ac:dyDescent="0.25">
      <c r="A56" s="32">
        <v>45755</v>
      </c>
      <c r="B56" s="31" t="s">
        <v>100</v>
      </c>
      <c r="C56" s="31" t="s">
        <v>8</v>
      </c>
      <c r="D56" s="31">
        <v>210</v>
      </c>
      <c r="E56" s="31">
        <v>93</v>
      </c>
      <c r="F56" s="31">
        <v>19530</v>
      </c>
      <c r="G56" s="31">
        <v>23045.4</v>
      </c>
      <c r="H56" s="31">
        <v>3515.4</v>
      </c>
      <c r="I56" s="31" t="s">
        <v>8</v>
      </c>
    </row>
    <row r="57" spans="1:9" x14ac:dyDescent="0.25">
      <c r="A57" s="32">
        <v>45755</v>
      </c>
      <c r="B57" s="31" t="s">
        <v>100</v>
      </c>
      <c r="C57" s="31" t="s">
        <v>8</v>
      </c>
      <c r="D57" s="31">
        <v>22</v>
      </c>
      <c r="E57" s="31">
        <v>90</v>
      </c>
      <c r="F57" s="31">
        <v>1980</v>
      </c>
      <c r="G57" s="31">
        <v>2336.4</v>
      </c>
      <c r="H57" s="31">
        <v>356.4</v>
      </c>
      <c r="I57" s="31" t="s">
        <v>8</v>
      </c>
    </row>
    <row r="58" spans="1:9" x14ac:dyDescent="0.25">
      <c r="A58" s="32">
        <v>45755</v>
      </c>
      <c r="B58" s="31" t="s">
        <v>97</v>
      </c>
      <c r="C58" s="31" t="s">
        <v>8</v>
      </c>
      <c r="D58" s="31">
        <v>5</v>
      </c>
      <c r="E58" s="31">
        <v>160</v>
      </c>
      <c r="F58" s="31">
        <v>800</v>
      </c>
      <c r="G58" s="31">
        <v>944</v>
      </c>
      <c r="H58" s="31">
        <v>144</v>
      </c>
      <c r="I58" s="31" t="s">
        <v>8</v>
      </c>
    </row>
    <row r="59" spans="1:9" x14ac:dyDescent="0.25">
      <c r="A59" s="32">
        <v>45755</v>
      </c>
      <c r="B59" s="31" t="s">
        <v>100</v>
      </c>
      <c r="C59" s="31" t="s">
        <v>8</v>
      </c>
      <c r="D59" s="31">
        <v>104</v>
      </c>
      <c r="E59" s="31">
        <v>114.5</v>
      </c>
      <c r="F59" s="31">
        <v>11908</v>
      </c>
      <c r="G59" s="31">
        <v>14051.44</v>
      </c>
      <c r="H59" s="31">
        <v>2143.44</v>
      </c>
      <c r="I59" s="31" t="s">
        <v>8</v>
      </c>
    </row>
    <row r="60" spans="1:9" x14ac:dyDescent="0.25">
      <c r="A60" s="32">
        <v>45755</v>
      </c>
      <c r="B60" s="31" t="s">
        <v>97</v>
      </c>
      <c r="C60" s="31" t="s">
        <v>8</v>
      </c>
      <c r="D60" s="31">
        <v>10</v>
      </c>
      <c r="E60" s="31">
        <v>160</v>
      </c>
      <c r="F60" s="31">
        <v>1600</v>
      </c>
      <c r="G60" s="31">
        <v>1888</v>
      </c>
      <c r="H60" s="31">
        <v>288</v>
      </c>
      <c r="I60" s="31" t="s">
        <v>8</v>
      </c>
    </row>
    <row r="61" spans="1:9" x14ac:dyDescent="0.25">
      <c r="A61" s="32">
        <v>45755</v>
      </c>
      <c r="B61" s="31" t="s">
        <v>100</v>
      </c>
      <c r="C61" s="31" t="s">
        <v>8</v>
      </c>
      <c r="D61" s="31">
        <v>20</v>
      </c>
      <c r="E61" s="31">
        <v>110</v>
      </c>
      <c r="F61" s="31">
        <v>2200</v>
      </c>
      <c r="G61" s="31">
        <v>2596</v>
      </c>
      <c r="H61" s="31">
        <v>396</v>
      </c>
      <c r="I61" s="31" t="s">
        <v>8</v>
      </c>
    </row>
    <row r="62" spans="1:9" x14ac:dyDescent="0.25">
      <c r="A62" s="32">
        <v>45756</v>
      </c>
      <c r="B62" s="31" t="s">
        <v>94</v>
      </c>
      <c r="C62" s="31" t="s">
        <v>8</v>
      </c>
      <c r="D62" s="31">
        <v>630</v>
      </c>
      <c r="E62" s="31">
        <v>75</v>
      </c>
      <c r="F62" s="31">
        <v>47250</v>
      </c>
      <c r="G62" s="31">
        <v>55755</v>
      </c>
      <c r="H62" s="31">
        <v>8505</v>
      </c>
      <c r="I62" s="31" t="s">
        <v>8</v>
      </c>
    </row>
    <row r="63" spans="1:9" x14ac:dyDescent="0.25">
      <c r="A63" s="32">
        <v>45756</v>
      </c>
      <c r="B63" s="31" t="s">
        <v>94</v>
      </c>
      <c r="C63" s="31" t="s">
        <v>8</v>
      </c>
      <c r="D63" s="31">
        <v>66</v>
      </c>
      <c r="E63" s="31">
        <v>238.97</v>
      </c>
      <c r="F63" s="31">
        <v>15772</v>
      </c>
      <c r="G63" s="31">
        <v>18610.96</v>
      </c>
      <c r="H63" s="31">
        <v>2838.96</v>
      </c>
      <c r="I63" s="31" t="s">
        <v>8</v>
      </c>
    </row>
    <row r="64" spans="1:9" x14ac:dyDescent="0.25">
      <c r="A64" s="32">
        <v>45756</v>
      </c>
      <c r="B64" s="31" t="s">
        <v>53</v>
      </c>
      <c r="C64" s="31" t="s">
        <v>8</v>
      </c>
      <c r="D64" s="31">
        <v>52</v>
      </c>
      <c r="E64" s="31">
        <v>95</v>
      </c>
      <c r="F64" s="31">
        <v>4940</v>
      </c>
      <c r="G64" s="31">
        <v>5829.2</v>
      </c>
      <c r="H64" s="31">
        <v>889.19999999999993</v>
      </c>
      <c r="I64" s="31" t="s">
        <v>8</v>
      </c>
    </row>
    <row r="65" spans="1:9" x14ac:dyDescent="0.25">
      <c r="A65" s="32">
        <v>45756</v>
      </c>
      <c r="B65" s="31" t="s">
        <v>16</v>
      </c>
      <c r="C65" s="31" t="s">
        <v>8</v>
      </c>
      <c r="D65" s="31">
        <v>20</v>
      </c>
      <c r="E65" s="31">
        <v>175</v>
      </c>
      <c r="F65" s="31">
        <v>3500</v>
      </c>
      <c r="G65" s="31">
        <v>4130</v>
      </c>
      <c r="H65" s="31">
        <v>630</v>
      </c>
      <c r="I65" s="31" t="s">
        <v>8</v>
      </c>
    </row>
    <row r="66" spans="1:9" x14ac:dyDescent="0.25">
      <c r="A66" s="32">
        <v>45756</v>
      </c>
      <c r="B66" s="31" t="s">
        <v>17</v>
      </c>
      <c r="C66" s="31" t="s">
        <v>8</v>
      </c>
      <c r="D66" s="31">
        <v>236</v>
      </c>
      <c r="E66" s="31">
        <v>75.42</v>
      </c>
      <c r="F66" s="31">
        <v>17800</v>
      </c>
      <c r="G66" s="31">
        <v>21004</v>
      </c>
      <c r="H66" s="31">
        <v>3204</v>
      </c>
      <c r="I66" s="31" t="s">
        <v>8</v>
      </c>
    </row>
    <row r="67" spans="1:9" x14ac:dyDescent="0.25">
      <c r="A67" s="32">
        <v>45756</v>
      </c>
      <c r="B67" s="31" t="s">
        <v>68</v>
      </c>
      <c r="C67" s="31" t="s">
        <v>8</v>
      </c>
      <c r="D67" s="31">
        <v>26</v>
      </c>
      <c r="E67" s="31">
        <v>115</v>
      </c>
      <c r="F67" s="31">
        <v>53940</v>
      </c>
      <c r="G67" s="31">
        <v>63649.2</v>
      </c>
      <c r="H67" s="31">
        <v>9709.1999999999989</v>
      </c>
      <c r="I67" s="31" t="s">
        <v>8</v>
      </c>
    </row>
    <row r="68" spans="1:9" x14ac:dyDescent="0.25">
      <c r="A68" s="32">
        <v>45756</v>
      </c>
      <c r="B68" s="31" t="s">
        <v>68</v>
      </c>
      <c r="C68" s="31" t="s">
        <v>8</v>
      </c>
      <c r="D68" s="31">
        <v>420</v>
      </c>
      <c r="E68" s="31">
        <v>107</v>
      </c>
      <c r="F68" s="31">
        <v>44940</v>
      </c>
      <c r="G68" s="31">
        <v>53029.2</v>
      </c>
      <c r="H68" s="31">
        <v>8089.2</v>
      </c>
      <c r="I68" s="31" t="s">
        <v>8</v>
      </c>
    </row>
    <row r="69" spans="1:9" x14ac:dyDescent="0.25">
      <c r="A69" s="32">
        <v>45756</v>
      </c>
      <c r="B69" s="31" t="s">
        <v>96</v>
      </c>
      <c r="C69" s="31" t="s">
        <v>8</v>
      </c>
      <c r="D69" s="31">
        <v>534</v>
      </c>
      <c r="E69" s="31">
        <v>56.49</v>
      </c>
      <c r="F69" s="31">
        <v>30168</v>
      </c>
      <c r="G69" s="31">
        <v>35598.239999999998</v>
      </c>
      <c r="H69" s="31">
        <v>5430.24</v>
      </c>
      <c r="I69" s="31" t="s">
        <v>8</v>
      </c>
    </row>
    <row r="70" spans="1:9" x14ac:dyDescent="0.25">
      <c r="A70" s="32">
        <v>45756</v>
      </c>
      <c r="B70" s="31" t="s">
        <v>97</v>
      </c>
      <c r="C70" s="31" t="s">
        <v>8</v>
      </c>
      <c r="D70" s="31">
        <v>210</v>
      </c>
      <c r="E70" s="31">
        <v>110</v>
      </c>
      <c r="F70" s="31">
        <v>23100</v>
      </c>
      <c r="G70" s="31">
        <v>27258</v>
      </c>
      <c r="H70" s="31">
        <v>4158</v>
      </c>
      <c r="I70" s="31" t="s">
        <v>8</v>
      </c>
    </row>
    <row r="71" spans="1:9" x14ac:dyDescent="0.25">
      <c r="A71" s="32">
        <v>45756</v>
      </c>
      <c r="B71" s="31" t="s">
        <v>18</v>
      </c>
      <c r="C71" s="31" t="s">
        <v>8</v>
      </c>
      <c r="D71" s="31">
        <v>105</v>
      </c>
      <c r="E71" s="31">
        <v>100</v>
      </c>
      <c r="F71" s="31">
        <v>10500</v>
      </c>
      <c r="G71" s="31">
        <v>12390</v>
      </c>
      <c r="H71" s="31">
        <v>1890</v>
      </c>
      <c r="I71" s="31" t="s">
        <v>8</v>
      </c>
    </row>
    <row r="72" spans="1:9" x14ac:dyDescent="0.25">
      <c r="A72" s="32">
        <v>45756</v>
      </c>
      <c r="B72" s="31" t="s">
        <v>63</v>
      </c>
      <c r="C72" s="31" t="s">
        <v>8</v>
      </c>
      <c r="D72" s="31">
        <v>5</v>
      </c>
      <c r="E72" s="31">
        <v>195</v>
      </c>
      <c r="F72" s="31">
        <v>975</v>
      </c>
      <c r="G72" s="31">
        <v>1150.5</v>
      </c>
      <c r="H72" s="31">
        <v>175.5</v>
      </c>
      <c r="I72" s="31" t="s">
        <v>8</v>
      </c>
    </row>
    <row r="73" spans="1:9" x14ac:dyDescent="0.25">
      <c r="A73" s="32">
        <v>45756</v>
      </c>
      <c r="B73" s="31" t="s">
        <v>100</v>
      </c>
      <c r="C73" s="31" t="s">
        <v>8</v>
      </c>
      <c r="D73" s="31">
        <v>26</v>
      </c>
      <c r="E73" s="31">
        <v>107</v>
      </c>
      <c r="F73" s="31">
        <v>2782</v>
      </c>
      <c r="G73" s="31">
        <v>3282.76</v>
      </c>
      <c r="H73" s="31">
        <v>500.76</v>
      </c>
      <c r="I73" s="31" t="s">
        <v>8</v>
      </c>
    </row>
    <row r="74" spans="1:9" x14ac:dyDescent="0.25">
      <c r="A74" s="32">
        <v>45756</v>
      </c>
      <c r="B74" s="31" t="s">
        <v>96</v>
      </c>
      <c r="C74" s="31" t="s">
        <v>8</v>
      </c>
      <c r="D74" s="31">
        <v>26</v>
      </c>
      <c r="E74" s="31">
        <v>120</v>
      </c>
      <c r="F74" s="31">
        <v>3120</v>
      </c>
      <c r="G74" s="31">
        <v>3681.6</v>
      </c>
      <c r="H74" s="31">
        <v>561.6</v>
      </c>
      <c r="I74" s="31" t="s">
        <v>8</v>
      </c>
    </row>
    <row r="75" spans="1:9" x14ac:dyDescent="0.25">
      <c r="A75" s="32">
        <v>45756</v>
      </c>
      <c r="B75" s="31" t="s">
        <v>53</v>
      </c>
      <c r="C75" s="31" t="s">
        <v>8</v>
      </c>
      <c r="D75" s="31">
        <v>20</v>
      </c>
      <c r="E75" s="31">
        <v>335</v>
      </c>
      <c r="F75" s="31">
        <v>6700</v>
      </c>
      <c r="G75" s="31">
        <v>7906</v>
      </c>
      <c r="H75" s="31">
        <v>1206</v>
      </c>
      <c r="I75" s="31" t="s">
        <v>8</v>
      </c>
    </row>
    <row r="76" spans="1:9" x14ac:dyDescent="0.25">
      <c r="A76" s="32">
        <v>45758</v>
      </c>
      <c r="B76" s="31" t="s">
        <v>95</v>
      </c>
      <c r="C76" s="31" t="s">
        <v>8</v>
      </c>
      <c r="D76" s="31">
        <v>265</v>
      </c>
      <c r="E76" s="31">
        <v>55</v>
      </c>
      <c r="F76" s="31">
        <v>14575</v>
      </c>
      <c r="G76" s="31">
        <v>17198.5</v>
      </c>
      <c r="H76" s="31">
        <v>2623.5</v>
      </c>
      <c r="I76" s="31" t="s">
        <v>8</v>
      </c>
    </row>
    <row r="77" spans="1:9" x14ac:dyDescent="0.25">
      <c r="A77" s="32">
        <v>45758</v>
      </c>
      <c r="B77" s="31" t="s">
        <v>94</v>
      </c>
      <c r="C77" s="31" t="s">
        <v>8</v>
      </c>
      <c r="D77" s="31">
        <v>210</v>
      </c>
      <c r="E77" s="31">
        <v>86</v>
      </c>
      <c r="F77" s="31">
        <v>18060</v>
      </c>
      <c r="G77" s="31">
        <v>21310.799999999999</v>
      </c>
      <c r="H77" s="31">
        <v>3250.7999999999997</v>
      </c>
      <c r="I77" s="31" t="s">
        <v>8</v>
      </c>
    </row>
    <row r="78" spans="1:9" x14ac:dyDescent="0.25">
      <c r="A78" s="32">
        <v>45758</v>
      </c>
      <c r="B78" s="31" t="s">
        <v>67</v>
      </c>
      <c r="C78" s="31" t="s">
        <v>8</v>
      </c>
      <c r="D78" s="31">
        <v>26</v>
      </c>
      <c r="E78" s="31">
        <v>120</v>
      </c>
      <c r="F78" s="31">
        <v>3120</v>
      </c>
      <c r="G78" s="31">
        <v>3681.6</v>
      </c>
      <c r="H78" s="31">
        <v>561.6</v>
      </c>
      <c r="I78" s="31" t="s">
        <v>8</v>
      </c>
    </row>
    <row r="79" spans="1:9" x14ac:dyDescent="0.25">
      <c r="A79" s="32">
        <v>45758</v>
      </c>
      <c r="B79" s="31" t="s">
        <v>97</v>
      </c>
      <c r="C79" s="31" t="s">
        <v>8</v>
      </c>
      <c r="D79" s="31">
        <v>210</v>
      </c>
      <c r="E79" s="31">
        <v>110</v>
      </c>
      <c r="F79" s="31">
        <v>23100</v>
      </c>
      <c r="G79" s="31">
        <v>27258</v>
      </c>
      <c r="H79" s="31">
        <v>4158</v>
      </c>
      <c r="I79" s="31" t="s">
        <v>8</v>
      </c>
    </row>
    <row r="80" spans="1:9" x14ac:dyDescent="0.25">
      <c r="A80" s="32">
        <v>45758</v>
      </c>
      <c r="B80" s="31" t="s">
        <v>100</v>
      </c>
      <c r="C80" s="31" t="s">
        <v>8</v>
      </c>
      <c r="D80" s="31">
        <v>35</v>
      </c>
      <c r="E80" s="31">
        <v>90</v>
      </c>
      <c r="F80" s="31">
        <v>3150</v>
      </c>
      <c r="G80" s="31">
        <v>3717</v>
      </c>
      <c r="H80" s="31">
        <v>567</v>
      </c>
      <c r="I80" s="31" t="s">
        <v>8</v>
      </c>
    </row>
    <row r="81" spans="1:9" x14ac:dyDescent="0.25">
      <c r="A81" s="32">
        <v>45758</v>
      </c>
      <c r="B81" s="31" t="s">
        <v>100</v>
      </c>
      <c r="C81" s="31" t="s">
        <v>8</v>
      </c>
      <c r="D81" s="31">
        <v>52</v>
      </c>
      <c r="E81" s="31">
        <v>79</v>
      </c>
      <c r="F81" s="31">
        <v>4108</v>
      </c>
      <c r="G81" s="31">
        <v>4847.4399999999996</v>
      </c>
      <c r="H81" s="31">
        <v>739.43999999999994</v>
      </c>
      <c r="I81" s="31" t="s">
        <v>8</v>
      </c>
    </row>
    <row r="82" spans="1:9" x14ac:dyDescent="0.25">
      <c r="A82" s="32">
        <v>45758</v>
      </c>
      <c r="B82" s="31" t="s">
        <v>57</v>
      </c>
      <c r="C82" s="31" t="s">
        <v>8</v>
      </c>
      <c r="D82" s="31">
        <v>25</v>
      </c>
      <c r="E82" s="31">
        <v>85</v>
      </c>
      <c r="F82" s="31">
        <v>2125</v>
      </c>
      <c r="G82" s="31">
        <v>2507.5</v>
      </c>
      <c r="H82" s="31">
        <v>382.5</v>
      </c>
      <c r="I82" s="31" t="s">
        <v>8</v>
      </c>
    </row>
    <row r="83" spans="1:9" x14ac:dyDescent="0.25">
      <c r="A83" s="32">
        <v>45759</v>
      </c>
      <c r="B83" s="31" t="s">
        <v>100</v>
      </c>
      <c r="C83" s="31" t="s">
        <v>8</v>
      </c>
      <c r="D83" s="31">
        <v>20</v>
      </c>
      <c r="E83" s="31">
        <v>90</v>
      </c>
      <c r="F83" s="31">
        <v>1800</v>
      </c>
      <c r="G83" s="31">
        <v>2124</v>
      </c>
      <c r="H83" s="31">
        <v>324</v>
      </c>
      <c r="I83" s="31" t="s">
        <v>8</v>
      </c>
    </row>
    <row r="84" spans="1:9" x14ac:dyDescent="0.25">
      <c r="A84" s="32">
        <v>45759</v>
      </c>
      <c r="B84" s="31" t="s">
        <v>86</v>
      </c>
      <c r="C84" s="31" t="s">
        <v>8</v>
      </c>
      <c r="D84" s="31">
        <v>210</v>
      </c>
      <c r="E84" s="31">
        <v>80</v>
      </c>
      <c r="F84" s="31">
        <v>16800</v>
      </c>
      <c r="G84" s="31">
        <v>19824</v>
      </c>
      <c r="H84" s="31">
        <v>3024</v>
      </c>
      <c r="I84" s="31" t="s">
        <v>8</v>
      </c>
    </row>
    <row r="85" spans="1:9" x14ac:dyDescent="0.25">
      <c r="A85" s="32">
        <v>45759</v>
      </c>
      <c r="B85" s="31" t="s">
        <v>96</v>
      </c>
      <c r="C85" s="31" t="s">
        <v>8</v>
      </c>
      <c r="D85" s="31">
        <v>420</v>
      </c>
      <c r="E85" s="31">
        <v>55</v>
      </c>
      <c r="F85" s="31">
        <v>23100</v>
      </c>
      <c r="G85" s="31">
        <v>27258</v>
      </c>
      <c r="H85" s="31">
        <v>4158</v>
      </c>
      <c r="I85" s="31" t="s">
        <v>8</v>
      </c>
    </row>
    <row r="86" spans="1:9" x14ac:dyDescent="0.25">
      <c r="A86" s="32">
        <v>45759</v>
      </c>
      <c r="B86" s="31" t="s">
        <v>11</v>
      </c>
      <c r="C86" s="31" t="s">
        <v>8</v>
      </c>
      <c r="D86" s="31">
        <v>105</v>
      </c>
      <c r="E86" s="31">
        <v>75</v>
      </c>
      <c r="F86" s="31">
        <v>7875</v>
      </c>
      <c r="G86" s="31">
        <v>9292.5</v>
      </c>
      <c r="H86" s="31">
        <v>1417.5</v>
      </c>
      <c r="I86" s="31" t="s">
        <v>8</v>
      </c>
    </row>
    <row r="87" spans="1:9" x14ac:dyDescent="0.25">
      <c r="A87" s="32">
        <v>45759</v>
      </c>
      <c r="B87" s="31" t="s">
        <v>100</v>
      </c>
      <c r="C87" s="31" t="s">
        <v>8</v>
      </c>
      <c r="D87" s="31">
        <v>26</v>
      </c>
      <c r="E87" s="31">
        <v>125</v>
      </c>
      <c r="F87" s="31">
        <v>3250</v>
      </c>
      <c r="G87" s="31">
        <v>3835</v>
      </c>
      <c r="H87" s="31">
        <v>585</v>
      </c>
      <c r="I87" s="31" t="s">
        <v>8</v>
      </c>
    </row>
    <row r="88" spans="1:9" x14ac:dyDescent="0.25">
      <c r="A88" s="32">
        <v>45759</v>
      </c>
      <c r="B88" s="31" t="s">
        <v>96</v>
      </c>
      <c r="C88" s="31" t="s">
        <v>8</v>
      </c>
      <c r="D88" s="31">
        <v>78</v>
      </c>
      <c r="E88" s="31">
        <v>99.33</v>
      </c>
      <c r="F88" s="31">
        <v>7748</v>
      </c>
      <c r="G88" s="31">
        <v>9142.64</v>
      </c>
      <c r="H88" s="31">
        <v>1394.6399999999999</v>
      </c>
      <c r="I88" s="31" t="s">
        <v>8</v>
      </c>
    </row>
    <row r="89" spans="1:9" x14ac:dyDescent="0.25">
      <c r="A89" s="32">
        <v>45759</v>
      </c>
      <c r="B89" s="31" t="s">
        <v>19</v>
      </c>
      <c r="C89" s="31" t="s">
        <v>8</v>
      </c>
      <c r="D89" s="31">
        <v>102</v>
      </c>
      <c r="E89" s="31">
        <v>87.45</v>
      </c>
      <c r="F89" s="31">
        <v>8920</v>
      </c>
      <c r="G89" s="31">
        <v>10525.6</v>
      </c>
      <c r="H89" s="31">
        <v>1605.6</v>
      </c>
      <c r="I89" s="31" t="s">
        <v>8</v>
      </c>
    </row>
    <row r="90" spans="1:9" x14ac:dyDescent="0.25">
      <c r="A90" s="32">
        <v>45759</v>
      </c>
      <c r="B90" s="31" t="s">
        <v>20</v>
      </c>
      <c r="C90" s="31" t="s">
        <v>8</v>
      </c>
      <c r="D90" s="31">
        <v>26</v>
      </c>
      <c r="E90" s="31">
        <v>120</v>
      </c>
      <c r="F90" s="31">
        <v>3120</v>
      </c>
      <c r="G90" s="31">
        <v>3681.6</v>
      </c>
      <c r="H90" s="31">
        <v>561.6</v>
      </c>
      <c r="I90" s="31" t="s">
        <v>8</v>
      </c>
    </row>
    <row r="91" spans="1:9" x14ac:dyDescent="0.25">
      <c r="A91" s="32">
        <v>45759</v>
      </c>
      <c r="B91" s="31" t="s">
        <v>100</v>
      </c>
      <c r="C91" s="31" t="s">
        <v>8</v>
      </c>
      <c r="D91" s="31">
        <v>262</v>
      </c>
      <c r="E91" s="31">
        <v>119.58</v>
      </c>
      <c r="F91" s="31">
        <v>31330</v>
      </c>
      <c r="G91" s="31">
        <v>36969.4</v>
      </c>
      <c r="H91" s="31">
        <v>5639.4</v>
      </c>
      <c r="I91" s="31" t="s">
        <v>8</v>
      </c>
    </row>
    <row r="92" spans="1:9" x14ac:dyDescent="0.25">
      <c r="A92" s="32">
        <v>45760</v>
      </c>
      <c r="B92" s="31" t="s">
        <v>100</v>
      </c>
      <c r="C92" s="31" t="s">
        <v>8</v>
      </c>
      <c r="D92" s="31">
        <v>630</v>
      </c>
      <c r="E92" s="31">
        <v>125</v>
      </c>
      <c r="F92" s="31">
        <v>78750</v>
      </c>
      <c r="G92" s="31">
        <v>92925</v>
      </c>
      <c r="H92" s="31">
        <v>14175</v>
      </c>
      <c r="I92" s="31" t="s">
        <v>8</v>
      </c>
    </row>
    <row r="93" spans="1:9" x14ac:dyDescent="0.25">
      <c r="A93" s="32">
        <v>45760</v>
      </c>
      <c r="B93" s="31" t="s">
        <v>63</v>
      </c>
      <c r="C93" s="31" t="s">
        <v>8</v>
      </c>
      <c r="D93" s="31">
        <v>26</v>
      </c>
      <c r="E93" s="31">
        <v>115</v>
      </c>
      <c r="F93" s="31">
        <v>231659.85</v>
      </c>
      <c r="G93" s="31">
        <v>273358.62300000002</v>
      </c>
      <c r="H93" s="31">
        <v>41698.773000000001</v>
      </c>
      <c r="I93" s="31" t="s">
        <v>8</v>
      </c>
    </row>
    <row r="94" spans="1:9" x14ac:dyDescent="0.25">
      <c r="A94" s="32">
        <v>45760</v>
      </c>
      <c r="B94" s="31" t="s">
        <v>97</v>
      </c>
      <c r="C94" s="31" t="s">
        <v>8</v>
      </c>
      <c r="D94" s="31">
        <v>5</v>
      </c>
      <c r="E94" s="31">
        <v>120</v>
      </c>
      <c r="F94" s="31">
        <v>600</v>
      </c>
      <c r="G94" s="31">
        <v>708</v>
      </c>
      <c r="H94" s="31">
        <v>108</v>
      </c>
      <c r="I94" s="31" t="s">
        <v>8</v>
      </c>
    </row>
    <row r="95" spans="1:9" x14ac:dyDescent="0.25">
      <c r="A95" s="32">
        <v>45760</v>
      </c>
      <c r="B95" s="31" t="s">
        <v>100</v>
      </c>
      <c r="C95" s="31" t="s">
        <v>8</v>
      </c>
      <c r="D95" s="31">
        <v>10</v>
      </c>
      <c r="E95" s="31">
        <v>105</v>
      </c>
      <c r="F95" s="31">
        <v>1050</v>
      </c>
      <c r="G95" s="31">
        <v>1239</v>
      </c>
      <c r="H95" s="31">
        <v>189</v>
      </c>
      <c r="I95" s="31" t="s">
        <v>8</v>
      </c>
    </row>
    <row r="96" spans="1:9" x14ac:dyDescent="0.25">
      <c r="A96" s="32">
        <v>45760</v>
      </c>
      <c r="B96" s="31" t="s">
        <v>63</v>
      </c>
      <c r="C96" s="31" t="s">
        <v>8</v>
      </c>
      <c r="D96" s="31">
        <v>26</v>
      </c>
      <c r="E96" s="31">
        <v>115</v>
      </c>
      <c r="F96" s="31">
        <v>115969.2</v>
      </c>
      <c r="G96" s="31">
        <v>136843.65599999999</v>
      </c>
      <c r="H96" s="31">
        <v>20874.455999999998</v>
      </c>
      <c r="I96" s="31" t="s">
        <v>8</v>
      </c>
    </row>
    <row r="97" spans="1:9" x14ac:dyDescent="0.25">
      <c r="A97" s="32">
        <v>45760</v>
      </c>
      <c r="B97" s="31" t="s">
        <v>42</v>
      </c>
      <c r="C97" s="31" t="s">
        <v>8</v>
      </c>
      <c r="D97" s="31">
        <v>262</v>
      </c>
      <c r="E97" s="31">
        <v>95.95</v>
      </c>
      <c r="F97" s="31">
        <v>25140</v>
      </c>
      <c r="G97" s="31">
        <v>29665.200000000001</v>
      </c>
      <c r="H97" s="31">
        <v>4525.2</v>
      </c>
      <c r="I97" s="31" t="s">
        <v>8</v>
      </c>
    </row>
    <row r="98" spans="1:9" x14ac:dyDescent="0.25">
      <c r="A98" s="32">
        <v>45760</v>
      </c>
      <c r="B98" s="31" t="s">
        <v>100</v>
      </c>
      <c r="C98" s="31" t="s">
        <v>8</v>
      </c>
      <c r="D98" s="31">
        <v>50</v>
      </c>
      <c r="E98" s="31">
        <v>210</v>
      </c>
      <c r="F98" s="31">
        <v>10500</v>
      </c>
      <c r="G98" s="31">
        <v>12390</v>
      </c>
      <c r="H98" s="31">
        <v>1890</v>
      </c>
      <c r="I98" s="31" t="s">
        <v>8</v>
      </c>
    </row>
    <row r="99" spans="1:9" x14ac:dyDescent="0.25">
      <c r="A99" s="32">
        <v>45760</v>
      </c>
      <c r="B99" s="31" t="s">
        <v>14</v>
      </c>
      <c r="C99" s="31" t="s">
        <v>8</v>
      </c>
      <c r="D99" s="31">
        <v>26</v>
      </c>
      <c r="E99" s="31">
        <v>108</v>
      </c>
      <c r="F99" s="31">
        <v>2808</v>
      </c>
      <c r="G99" s="31">
        <v>3313.44</v>
      </c>
      <c r="H99" s="31">
        <v>505.44</v>
      </c>
      <c r="I99" s="31" t="s">
        <v>8</v>
      </c>
    </row>
    <row r="100" spans="1:9" x14ac:dyDescent="0.25">
      <c r="A100" s="32">
        <v>45761</v>
      </c>
      <c r="B100" s="31" t="s">
        <v>77</v>
      </c>
      <c r="C100" s="31" t="s">
        <v>8</v>
      </c>
      <c r="D100" s="31">
        <v>5</v>
      </c>
      <c r="E100" s="31">
        <v>130</v>
      </c>
      <c r="F100" s="31">
        <v>650</v>
      </c>
      <c r="G100" s="31">
        <v>767</v>
      </c>
      <c r="H100" s="31">
        <v>117</v>
      </c>
      <c r="I100" s="31" t="s">
        <v>8</v>
      </c>
    </row>
    <row r="101" spans="1:9" x14ac:dyDescent="0.25">
      <c r="A101" s="32">
        <v>45761</v>
      </c>
      <c r="B101" s="31" t="s">
        <v>99</v>
      </c>
      <c r="C101" s="31" t="s">
        <v>8</v>
      </c>
      <c r="D101" s="31">
        <v>2</v>
      </c>
      <c r="E101" s="31">
        <v>120</v>
      </c>
      <c r="F101" s="31">
        <v>240</v>
      </c>
      <c r="G101" s="31">
        <v>283.2</v>
      </c>
      <c r="H101" s="31">
        <v>43.199999999999996</v>
      </c>
      <c r="I101" s="31" t="s">
        <v>8</v>
      </c>
    </row>
    <row r="102" spans="1:9" x14ac:dyDescent="0.25">
      <c r="A102" s="32">
        <v>45761</v>
      </c>
      <c r="B102" s="31" t="s">
        <v>95</v>
      </c>
      <c r="C102" s="31" t="s">
        <v>8</v>
      </c>
      <c r="D102" s="31">
        <v>78</v>
      </c>
      <c r="E102" s="31">
        <v>109</v>
      </c>
      <c r="F102" s="31">
        <v>8502</v>
      </c>
      <c r="G102" s="31">
        <v>10032.36</v>
      </c>
      <c r="H102" s="31">
        <v>1530.36</v>
      </c>
      <c r="I102" s="31" t="s">
        <v>8</v>
      </c>
    </row>
    <row r="103" spans="1:9" x14ac:dyDescent="0.25">
      <c r="A103" s="32">
        <v>45761</v>
      </c>
      <c r="B103" s="31" t="s">
        <v>46</v>
      </c>
      <c r="C103" s="31" t="s">
        <v>8</v>
      </c>
      <c r="D103" s="31">
        <v>26</v>
      </c>
      <c r="E103" s="31">
        <v>165</v>
      </c>
      <c r="F103" s="31">
        <v>4290</v>
      </c>
      <c r="G103" s="31">
        <v>5062.2</v>
      </c>
      <c r="H103" s="31">
        <v>772.19999999999993</v>
      </c>
      <c r="I103" s="31" t="s">
        <v>8</v>
      </c>
    </row>
    <row r="104" spans="1:9" x14ac:dyDescent="0.25">
      <c r="A104" s="32">
        <v>45761</v>
      </c>
      <c r="B104" s="31" t="s">
        <v>51</v>
      </c>
      <c r="C104" s="31" t="s">
        <v>8</v>
      </c>
      <c r="D104" s="31">
        <v>26</v>
      </c>
      <c r="E104" s="31">
        <v>115</v>
      </c>
      <c r="F104" s="31">
        <v>11020</v>
      </c>
      <c r="G104" s="31">
        <v>13003.6</v>
      </c>
      <c r="H104" s="31">
        <v>1983.6</v>
      </c>
      <c r="I104" s="31" t="s">
        <v>8</v>
      </c>
    </row>
    <row r="105" spans="1:9" x14ac:dyDescent="0.25">
      <c r="A105" s="32">
        <v>45761</v>
      </c>
      <c r="B105" s="31" t="s">
        <v>96</v>
      </c>
      <c r="C105" s="31" t="s">
        <v>8</v>
      </c>
      <c r="D105" s="31">
        <v>52</v>
      </c>
      <c r="E105" s="31">
        <v>107.5</v>
      </c>
      <c r="F105" s="31">
        <v>5590</v>
      </c>
      <c r="G105" s="31">
        <v>6596.2</v>
      </c>
      <c r="H105" s="31">
        <v>1006.1999999999999</v>
      </c>
      <c r="I105" s="31" t="s">
        <v>8</v>
      </c>
    </row>
    <row r="106" spans="1:9" x14ac:dyDescent="0.25">
      <c r="A106" s="32">
        <v>45761</v>
      </c>
      <c r="B106" s="31" t="s">
        <v>96</v>
      </c>
      <c r="C106" s="31" t="s">
        <v>8</v>
      </c>
      <c r="D106" s="31">
        <v>105</v>
      </c>
      <c r="E106" s="31">
        <v>92.33</v>
      </c>
      <c r="F106" s="31">
        <v>9695</v>
      </c>
      <c r="G106" s="31">
        <v>11440.1</v>
      </c>
      <c r="H106" s="31">
        <v>1745.1</v>
      </c>
      <c r="I106" s="31" t="s">
        <v>8</v>
      </c>
    </row>
    <row r="107" spans="1:9" x14ac:dyDescent="0.25">
      <c r="A107" s="32">
        <v>45762</v>
      </c>
      <c r="B107" s="31" t="s">
        <v>95</v>
      </c>
      <c r="C107" s="31" t="s">
        <v>8</v>
      </c>
      <c r="D107" s="31">
        <v>220</v>
      </c>
      <c r="E107" s="31">
        <v>55</v>
      </c>
      <c r="F107" s="31">
        <v>12100</v>
      </c>
      <c r="G107" s="31">
        <v>14278</v>
      </c>
      <c r="H107" s="31">
        <v>2178</v>
      </c>
      <c r="I107" s="31" t="s">
        <v>8</v>
      </c>
    </row>
    <row r="108" spans="1:9" x14ac:dyDescent="0.25">
      <c r="A108" s="32">
        <v>45762</v>
      </c>
      <c r="B108" s="31" t="s">
        <v>99</v>
      </c>
      <c r="C108" s="31" t="s">
        <v>8</v>
      </c>
      <c r="D108" s="31">
        <v>52</v>
      </c>
      <c r="E108" s="31">
        <v>134</v>
      </c>
      <c r="F108" s="31">
        <v>6968</v>
      </c>
      <c r="G108" s="31">
        <v>8222.24</v>
      </c>
      <c r="H108" s="31">
        <v>1254.24</v>
      </c>
      <c r="I108" s="31" t="s">
        <v>8</v>
      </c>
    </row>
    <row r="109" spans="1:9" x14ac:dyDescent="0.25">
      <c r="A109" s="32">
        <v>45762</v>
      </c>
      <c r="B109" s="31" t="s">
        <v>96</v>
      </c>
      <c r="C109" s="31" t="s">
        <v>8</v>
      </c>
      <c r="D109" s="31">
        <v>52</v>
      </c>
      <c r="E109" s="31">
        <v>125</v>
      </c>
      <c r="F109" s="31">
        <v>6500</v>
      </c>
      <c r="G109" s="31">
        <v>7670</v>
      </c>
      <c r="H109" s="31">
        <v>1170</v>
      </c>
      <c r="I109" s="31" t="s">
        <v>8</v>
      </c>
    </row>
    <row r="110" spans="1:9" x14ac:dyDescent="0.25">
      <c r="A110" s="32">
        <v>45762</v>
      </c>
      <c r="B110" s="31" t="s">
        <v>85</v>
      </c>
      <c r="C110" s="31" t="s">
        <v>8</v>
      </c>
      <c r="D110" s="31">
        <v>5</v>
      </c>
      <c r="E110" s="31">
        <v>60</v>
      </c>
      <c r="F110" s="31">
        <v>300</v>
      </c>
      <c r="G110" s="31">
        <v>354</v>
      </c>
      <c r="H110" s="31">
        <v>54</v>
      </c>
      <c r="I110" s="31" t="s">
        <v>8</v>
      </c>
    </row>
    <row r="111" spans="1:9" x14ac:dyDescent="0.25">
      <c r="A111" s="32">
        <v>45762</v>
      </c>
      <c r="B111" s="31" t="s">
        <v>53</v>
      </c>
      <c r="C111" s="31" t="s">
        <v>8</v>
      </c>
      <c r="D111" s="31">
        <v>210</v>
      </c>
      <c r="E111" s="31">
        <v>76</v>
      </c>
      <c r="F111" s="31">
        <v>15960</v>
      </c>
      <c r="G111" s="31">
        <v>18832.8</v>
      </c>
      <c r="H111" s="31">
        <v>2872.7999999999997</v>
      </c>
      <c r="I111" s="31" t="s">
        <v>8</v>
      </c>
    </row>
    <row r="112" spans="1:9" x14ac:dyDescent="0.25">
      <c r="A112" s="32">
        <v>45762</v>
      </c>
      <c r="B112" s="31" t="s">
        <v>44</v>
      </c>
      <c r="C112" s="31" t="s">
        <v>8</v>
      </c>
      <c r="D112" s="31">
        <v>156</v>
      </c>
      <c r="E112" s="31">
        <v>109</v>
      </c>
      <c r="F112" s="31">
        <v>17004</v>
      </c>
      <c r="G112" s="31">
        <v>20064.72</v>
      </c>
      <c r="H112" s="31">
        <v>3060.72</v>
      </c>
      <c r="I112" s="31" t="s">
        <v>8</v>
      </c>
    </row>
    <row r="113" spans="1:9" x14ac:dyDescent="0.25">
      <c r="A113" s="32">
        <v>45763</v>
      </c>
      <c r="B113" s="31" t="s">
        <v>43</v>
      </c>
      <c r="C113" s="31" t="s">
        <v>8</v>
      </c>
      <c r="D113" s="31">
        <v>52</v>
      </c>
      <c r="E113" s="31">
        <v>105</v>
      </c>
      <c r="F113" s="31">
        <v>5460</v>
      </c>
      <c r="G113" s="31">
        <v>6442.8</v>
      </c>
      <c r="H113" s="31">
        <v>982.8</v>
      </c>
      <c r="I113" s="31" t="s">
        <v>8</v>
      </c>
    </row>
    <row r="114" spans="1:9" x14ac:dyDescent="0.25">
      <c r="A114" s="32">
        <v>45763</v>
      </c>
      <c r="B114" s="31" t="s">
        <v>99</v>
      </c>
      <c r="C114" s="31" t="s">
        <v>8</v>
      </c>
      <c r="D114" s="31">
        <v>210</v>
      </c>
      <c r="E114" s="31">
        <v>90</v>
      </c>
      <c r="F114" s="31">
        <v>18900</v>
      </c>
      <c r="G114" s="31">
        <v>22302</v>
      </c>
      <c r="H114" s="31">
        <v>3402</v>
      </c>
      <c r="I114" s="31" t="s">
        <v>8</v>
      </c>
    </row>
    <row r="115" spans="1:9" x14ac:dyDescent="0.25">
      <c r="A115" s="32">
        <v>45763</v>
      </c>
      <c r="B115" s="31" t="s">
        <v>102</v>
      </c>
      <c r="C115" s="31" t="s">
        <v>8</v>
      </c>
      <c r="D115" s="31">
        <v>210</v>
      </c>
      <c r="E115" s="31">
        <v>80</v>
      </c>
      <c r="F115" s="31">
        <v>16800</v>
      </c>
      <c r="G115" s="31">
        <v>19824</v>
      </c>
      <c r="H115" s="31">
        <v>3024</v>
      </c>
      <c r="I115" s="31" t="s">
        <v>8</v>
      </c>
    </row>
    <row r="116" spans="1:9" x14ac:dyDescent="0.25">
      <c r="A116" s="32">
        <v>45763</v>
      </c>
      <c r="B116" s="31" t="s">
        <v>93</v>
      </c>
      <c r="C116" s="31" t="s">
        <v>8</v>
      </c>
      <c r="D116" s="31">
        <v>420</v>
      </c>
      <c r="E116" s="31">
        <v>70</v>
      </c>
      <c r="F116" s="31">
        <v>29400</v>
      </c>
      <c r="G116" s="31">
        <v>34692</v>
      </c>
      <c r="H116" s="31">
        <v>5292</v>
      </c>
      <c r="I116" s="31" t="s">
        <v>8</v>
      </c>
    </row>
    <row r="117" spans="1:9" x14ac:dyDescent="0.25">
      <c r="A117" s="32">
        <v>45763</v>
      </c>
      <c r="B117" s="31" t="s">
        <v>63</v>
      </c>
      <c r="C117" s="31" t="s">
        <v>8</v>
      </c>
      <c r="D117" s="31">
        <v>100</v>
      </c>
      <c r="E117" s="31">
        <v>195</v>
      </c>
      <c r="F117" s="31">
        <v>19500</v>
      </c>
      <c r="G117" s="31">
        <v>23010</v>
      </c>
      <c r="H117" s="31">
        <v>3510</v>
      </c>
      <c r="I117" s="31" t="s">
        <v>8</v>
      </c>
    </row>
    <row r="118" spans="1:9" x14ac:dyDescent="0.25">
      <c r="A118" s="32">
        <v>45763</v>
      </c>
      <c r="B118" s="31" t="s">
        <v>99</v>
      </c>
      <c r="C118" s="31" t="s">
        <v>8</v>
      </c>
      <c r="D118" s="31">
        <v>26</v>
      </c>
      <c r="E118" s="31">
        <v>115</v>
      </c>
      <c r="F118" s="31">
        <v>5920</v>
      </c>
      <c r="G118" s="31">
        <v>6985.6</v>
      </c>
      <c r="H118" s="31">
        <v>1065.5999999999999</v>
      </c>
      <c r="I118" s="31" t="s">
        <v>8</v>
      </c>
    </row>
    <row r="119" spans="1:9" x14ac:dyDescent="0.25">
      <c r="A119" s="32">
        <v>45763</v>
      </c>
      <c r="B119" s="31" t="s">
        <v>72</v>
      </c>
      <c r="C119" s="31" t="s">
        <v>8</v>
      </c>
      <c r="D119" s="31">
        <v>26</v>
      </c>
      <c r="E119" s="31">
        <v>115</v>
      </c>
      <c r="F119" s="31">
        <v>34400</v>
      </c>
      <c r="G119" s="31">
        <v>40592</v>
      </c>
      <c r="H119" s="31">
        <v>6192</v>
      </c>
      <c r="I119" s="31" t="s">
        <v>8</v>
      </c>
    </row>
    <row r="120" spans="1:9" x14ac:dyDescent="0.25">
      <c r="A120" s="32">
        <v>45763</v>
      </c>
      <c r="B120" s="31" t="s">
        <v>102</v>
      </c>
      <c r="C120" s="31" t="s">
        <v>8</v>
      </c>
      <c r="D120" s="31">
        <v>4</v>
      </c>
      <c r="E120" s="31">
        <v>169.5</v>
      </c>
      <c r="F120" s="31">
        <v>678</v>
      </c>
      <c r="G120" s="31">
        <v>800.04</v>
      </c>
      <c r="H120" s="31">
        <v>122.03999999999999</v>
      </c>
      <c r="I120" s="31" t="s">
        <v>8</v>
      </c>
    </row>
    <row r="121" spans="1:9" x14ac:dyDescent="0.25">
      <c r="A121" s="32">
        <v>45763</v>
      </c>
      <c r="B121" s="31" t="s">
        <v>99</v>
      </c>
      <c r="C121" s="31" t="s">
        <v>8</v>
      </c>
      <c r="D121" s="31">
        <v>210</v>
      </c>
      <c r="E121" s="31">
        <v>83</v>
      </c>
      <c r="F121" s="31">
        <v>17430</v>
      </c>
      <c r="G121" s="31">
        <v>20567.400000000001</v>
      </c>
      <c r="H121" s="31">
        <v>3137.4</v>
      </c>
      <c r="I121" s="31" t="s">
        <v>8</v>
      </c>
    </row>
    <row r="122" spans="1:9" x14ac:dyDescent="0.25">
      <c r="A122" s="32">
        <v>45763</v>
      </c>
      <c r="B122" s="31" t="s">
        <v>102</v>
      </c>
      <c r="C122" s="31" t="s">
        <v>8</v>
      </c>
      <c r="D122" s="31">
        <v>4</v>
      </c>
      <c r="E122" s="31">
        <v>168.75</v>
      </c>
      <c r="F122" s="31">
        <v>675</v>
      </c>
      <c r="G122" s="31">
        <v>796.5</v>
      </c>
      <c r="H122" s="31">
        <v>121.5</v>
      </c>
      <c r="I122" s="31" t="s">
        <v>8</v>
      </c>
    </row>
    <row r="123" spans="1:9" x14ac:dyDescent="0.25">
      <c r="A123" s="32">
        <v>45765</v>
      </c>
      <c r="B123" s="31" t="s">
        <v>93</v>
      </c>
      <c r="C123" s="31" t="s">
        <v>8</v>
      </c>
      <c r="D123" s="31">
        <v>210</v>
      </c>
      <c r="E123" s="31">
        <v>80</v>
      </c>
      <c r="F123" s="31">
        <v>16800</v>
      </c>
      <c r="G123" s="31">
        <v>19824</v>
      </c>
      <c r="H123" s="31">
        <v>3024</v>
      </c>
      <c r="I123" s="31" t="s">
        <v>8</v>
      </c>
    </row>
    <row r="124" spans="1:9" x14ac:dyDescent="0.25">
      <c r="A124" s="32">
        <v>45765</v>
      </c>
      <c r="B124" s="31" t="s">
        <v>95</v>
      </c>
      <c r="C124" s="31" t="s">
        <v>8</v>
      </c>
      <c r="D124" s="31">
        <v>220</v>
      </c>
      <c r="E124" s="31">
        <v>55</v>
      </c>
      <c r="F124" s="31">
        <v>12100</v>
      </c>
      <c r="G124" s="31">
        <v>14278</v>
      </c>
      <c r="H124" s="31">
        <v>2178</v>
      </c>
      <c r="I124" s="31" t="s">
        <v>8</v>
      </c>
    </row>
    <row r="125" spans="1:9" x14ac:dyDescent="0.25">
      <c r="A125" s="32">
        <v>45765</v>
      </c>
      <c r="B125" s="31" t="s">
        <v>96</v>
      </c>
      <c r="C125" s="31" t="s">
        <v>8</v>
      </c>
      <c r="D125" s="31">
        <v>20</v>
      </c>
      <c r="E125" s="31">
        <v>75</v>
      </c>
      <c r="F125" s="31">
        <v>1500</v>
      </c>
      <c r="G125" s="31">
        <v>1770</v>
      </c>
      <c r="H125" s="31">
        <v>270</v>
      </c>
      <c r="I125" s="31" t="s">
        <v>8</v>
      </c>
    </row>
    <row r="126" spans="1:9" x14ac:dyDescent="0.25">
      <c r="A126" s="32">
        <v>45765</v>
      </c>
      <c r="B126" s="31" t="s">
        <v>49</v>
      </c>
      <c r="C126" s="31" t="s">
        <v>8</v>
      </c>
      <c r="D126" s="31">
        <v>455</v>
      </c>
      <c r="E126" s="31">
        <v>65.38</v>
      </c>
      <c r="F126" s="31">
        <v>29750</v>
      </c>
      <c r="G126" s="31">
        <v>35105</v>
      </c>
      <c r="H126" s="31">
        <v>5355</v>
      </c>
      <c r="I126" s="31" t="s">
        <v>8</v>
      </c>
    </row>
    <row r="127" spans="1:9" x14ac:dyDescent="0.25">
      <c r="A127" s="32">
        <v>45765</v>
      </c>
      <c r="B127" s="31" t="s">
        <v>21</v>
      </c>
      <c r="C127" s="31" t="s">
        <v>8</v>
      </c>
      <c r="D127" s="31">
        <v>210</v>
      </c>
      <c r="E127" s="31">
        <v>115</v>
      </c>
      <c r="F127" s="31">
        <v>24150</v>
      </c>
      <c r="G127" s="31">
        <v>28497</v>
      </c>
      <c r="H127" s="31">
        <v>4347</v>
      </c>
      <c r="I127" s="31" t="s">
        <v>8</v>
      </c>
    </row>
    <row r="128" spans="1:9" x14ac:dyDescent="0.25">
      <c r="A128" s="32">
        <v>45765</v>
      </c>
      <c r="B128" s="31" t="s">
        <v>99</v>
      </c>
      <c r="C128" s="31" t="s">
        <v>8</v>
      </c>
      <c r="D128" s="31">
        <v>26</v>
      </c>
      <c r="E128" s="31">
        <v>130</v>
      </c>
      <c r="F128" s="31">
        <v>3380</v>
      </c>
      <c r="G128" s="31">
        <v>3988.4</v>
      </c>
      <c r="H128" s="31">
        <v>608.4</v>
      </c>
      <c r="I128" s="31" t="s">
        <v>8</v>
      </c>
    </row>
    <row r="129" spans="1:9" x14ac:dyDescent="0.25">
      <c r="A129" s="32">
        <v>45765</v>
      </c>
      <c r="B129" s="31" t="s">
        <v>99</v>
      </c>
      <c r="C129" s="31" t="s">
        <v>8</v>
      </c>
      <c r="D129" s="31">
        <v>120</v>
      </c>
      <c r="E129" s="31">
        <v>160</v>
      </c>
      <c r="F129" s="31">
        <v>19200</v>
      </c>
      <c r="G129" s="31">
        <v>22656</v>
      </c>
      <c r="H129" s="31">
        <v>3456</v>
      </c>
      <c r="I129" s="31" t="s">
        <v>8</v>
      </c>
    </row>
    <row r="130" spans="1:9" x14ac:dyDescent="0.25">
      <c r="A130" s="32">
        <v>45766</v>
      </c>
      <c r="B130" s="31" t="s">
        <v>94</v>
      </c>
      <c r="C130" s="31" t="s">
        <v>8</v>
      </c>
      <c r="D130" s="31">
        <v>630</v>
      </c>
      <c r="E130" s="31">
        <v>75</v>
      </c>
      <c r="F130" s="31">
        <v>47250</v>
      </c>
      <c r="G130" s="31">
        <v>55755</v>
      </c>
      <c r="H130" s="31">
        <v>8505</v>
      </c>
      <c r="I130" s="31" t="s">
        <v>8</v>
      </c>
    </row>
    <row r="131" spans="1:9" x14ac:dyDescent="0.25">
      <c r="A131" s="32">
        <v>45766</v>
      </c>
      <c r="B131" s="31" t="s">
        <v>102</v>
      </c>
      <c r="C131" s="31" t="s">
        <v>8</v>
      </c>
      <c r="D131" s="31">
        <v>210</v>
      </c>
      <c r="E131" s="31">
        <v>80</v>
      </c>
      <c r="F131" s="31">
        <v>16800</v>
      </c>
      <c r="G131" s="31">
        <v>19824</v>
      </c>
      <c r="H131" s="31">
        <v>3024</v>
      </c>
      <c r="I131" s="31" t="s">
        <v>8</v>
      </c>
    </row>
    <row r="132" spans="1:9" x14ac:dyDescent="0.25">
      <c r="A132" s="32">
        <v>45766</v>
      </c>
      <c r="B132" s="31" t="s">
        <v>93</v>
      </c>
      <c r="C132" s="31" t="s">
        <v>8</v>
      </c>
      <c r="D132" s="31">
        <v>5</v>
      </c>
      <c r="E132" s="31">
        <v>60</v>
      </c>
      <c r="F132" s="31">
        <v>300</v>
      </c>
      <c r="G132" s="31">
        <v>354</v>
      </c>
      <c r="H132" s="31">
        <v>54</v>
      </c>
      <c r="I132" s="31" t="s">
        <v>8</v>
      </c>
    </row>
    <row r="133" spans="1:9" x14ac:dyDescent="0.25">
      <c r="A133" s="32">
        <v>45766</v>
      </c>
      <c r="B133" s="31" t="s">
        <v>63</v>
      </c>
      <c r="C133" s="31" t="s">
        <v>8</v>
      </c>
      <c r="D133" s="31">
        <v>5</v>
      </c>
      <c r="E133" s="31">
        <v>180</v>
      </c>
      <c r="F133" s="31">
        <v>900</v>
      </c>
      <c r="G133" s="31">
        <v>1062</v>
      </c>
      <c r="H133" s="31">
        <v>162</v>
      </c>
      <c r="I133" s="31" t="s">
        <v>8</v>
      </c>
    </row>
    <row r="134" spans="1:9" x14ac:dyDescent="0.25">
      <c r="A134" s="32">
        <v>45766</v>
      </c>
      <c r="B134" s="31" t="s">
        <v>99</v>
      </c>
      <c r="C134" s="31" t="s">
        <v>8</v>
      </c>
      <c r="D134" s="31">
        <v>840</v>
      </c>
      <c r="E134" s="31">
        <v>75.19</v>
      </c>
      <c r="F134" s="31">
        <v>63160</v>
      </c>
      <c r="G134" s="31">
        <v>74528.800000000003</v>
      </c>
      <c r="H134" s="31">
        <v>11368.8</v>
      </c>
      <c r="I134" s="31" t="s">
        <v>8</v>
      </c>
    </row>
    <row r="135" spans="1:9" x14ac:dyDescent="0.25">
      <c r="A135" s="32">
        <v>45767</v>
      </c>
      <c r="B135" s="31" t="s">
        <v>96</v>
      </c>
      <c r="C135" s="31" t="s">
        <v>8</v>
      </c>
      <c r="D135" s="31">
        <v>420</v>
      </c>
      <c r="E135" s="31">
        <v>55</v>
      </c>
      <c r="F135" s="31">
        <v>23100</v>
      </c>
      <c r="G135" s="31">
        <v>27258</v>
      </c>
      <c r="H135" s="31">
        <v>4158</v>
      </c>
      <c r="I135" s="31" t="s">
        <v>8</v>
      </c>
    </row>
    <row r="136" spans="1:9" x14ac:dyDescent="0.25">
      <c r="A136" s="32">
        <v>45767</v>
      </c>
      <c r="B136" s="31" t="s">
        <v>58</v>
      </c>
      <c r="C136" s="31" t="s">
        <v>8</v>
      </c>
      <c r="D136" s="31">
        <v>20</v>
      </c>
      <c r="E136" s="31">
        <v>125</v>
      </c>
      <c r="F136" s="31">
        <v>2500</v>
      </c>
      <c r="G136" s="31">
        <v>2950</v>
      </c>
      <c r="H136" s="31">
        <v>450</v>
      </c>
      <c r="I136" s="31" t="s">
        <v>8</v>
      </c>
    </row>
    <row r="137" spans="1:9" x14ac:dyDescent="0.25">
      <c r="A137" s="32">
        <v>45767</v>
      </c>
      <c r="B137" s="31" t="s">
        <v>93</v>
      </c>
      <c r="C137" s="31" t="s">
        <v>8</v>
      </c>
      <c r="D137" s="31">
        <v>210</v>
      </c>
      <c r="E137" s="31">
        <v>95</v>
      </c>
      <c r="F137" s="31">
        <v>19950</v>
      </c>
      <c r="G137" s="31">
        <v>23541</v>
      </c>
      <c r="H137" s="31">
        <v>3591</v>
      </c>
      <c r="I137" s="31" t="s">
        <v>8</v>
      </c>
    </row>
    <row r="138" spans="1:9" x14ac:dyDescent="0.25">
      <c r="A138" s="32">
        <v>45767</v>
      </c>
      <c r="B138" s="31" t="s">
        <v>94</v>
      </c>
      <c r="C138" s="31" t="s">
        <v>8</v>
      </c>
      <c r="D138" s="31">
        <v>240</v>
      </c>
      <c r="E138" s="31">
        <v>90.5</v>
      </c>
      <c r="F138" s="31">
        <v>21720</v>
      </c>
      <c r="G138" s="31">
        <v>25629.599999999999</v>
      </c>
      <c r="H138" s="31">
        <v>3909.6</v>
      </c>
      <c r="I138" s="31" t="s">
        <v>8</v>
      </c>
    </row>
    <row r="139" spans="1:9" x14ac:dyDescent="0.25">
      <c r="A139" s="32">
        <v>45767</v>
      </c>
      <c r="B139" s="31" t="s">
        <v>99</v>
      </c>
      <c r="C139" s="31" t="s">
        <v>8</v>
      </c>
      <c r="D139" s="31">
        <v>26</v>
      </c>
      <c r="E139" s="31">
        <v>125</v>
      </c>
      <c r="F139" s="31">
        <v>3250</v>
      </c>
      <c r="G139" s="31">
        <v>3835</v>
      </c>
      <c r="H139" s="31">
        <v>585</v>
      </c>
      <c r="I139" s="31" t="s">
        <v>8</v>
      </c>
    </row>
    <row r="140" spans="1:9" x14ac:dyDescent="0.25">
      <c r="A140" s="32">
        <v>45767</v>
      </c>
      <c r="B140" s="31" t="s">
        <v>96</v>
      </c>
      <c r="C140" s="31" t="s">
        <v>8</v>
      </c>
      <c r="D140" s="31">
        <v>5</v>
      </c>
      <c r="E140" s="31">
        <v>280</v>
      </c>
      <c r="F140" s="31">
        <v>1400</v>
      </c>
      <c r="G140" s="31">
        <v>1652</v>
      </c>
      <c r="H140" s="31">
        <v>252</v>
      </c>
      <c r="I140" s="31" t="s">
        <v>8</v>
      </c>
    </row>
    <row r="141" spans="1:9" x14ac:dyDescent="0.25">
      <c r="A141" s="32">
        <v>45767</v>
      </c>
      <c r="B141" s="31" t="s">
        <v>95</v>
      </c>
      <c r="C141" s="31" t="s">
        <v>8</v>
      </c>
      <c r="D141" s="31">
        <v>35</v>
      </c>
      <c r="E141" s="31">
        <v>90</v>
      </c>
      <c r="F141" s="31">
        <v>3150</v>
      </c>
      <c r="G141" s="31">
        <v>3717</v>
      </c>
      <c r="H141" s="31">
        <v>567</v>
      </c>
      <c r="I141" s="31" t="s">
        <v>8</v>
      </c>
    </row>
    <row r="142" spans="1:9" x14ac:dyDescent="0.25">
      <c r="A142" s="32">
        <v>45767</v>
      </c>
      <c r="B142" s="31" t="s">
        <v>80</v>
      </c>
      <c r="C142" s="31" t="s">
        <v>8</v>
      </c>
      <c r="D142" s="31">
        <v>26</v>
      </c>
      <c r="E142" s="31">
        <v>115</v>
      </c>
      <c r="F142" s="31">
        <v>53150</v>
      </c>
      <c r="G142" s="31">
        <v>62717</v>
      </c>
      <c r="H142" s="31">
        <v>9567</v>
      </c>
      <c r="I142" s="31" t="s">
        <v>8</v>
      </c>
    </row>
    <row r="143" spans="1:9" x14ac:dyDescent="0.25">
      <c r="A143" s="32">
        <v>45767</v>
      </c>
      <c r="B143" s="31" t="s">
        <v>99</v>
      </c>
      <c r="C143" s="31" t="s">
        <v>8</v>
      </c>
      <c r="D143" s="31">
        <v>10</v>
      </c>
      <c r="E143" s="31">
        <v>125</v>
      </c>
      <c r="F143" s="31">
        <v>1250</v>
      </c>
      <c r="G143" s="31">
        <v>1475</v>
      </c>
      <c r="H143" s="31">
        <v>225</v>
      </c>
      <c r="I143" s="31" t="s">
        <v>8</v>
      </c>
    </row>
    <row r="144" spans="1:9" x14ac:dyDescent="0.25">
      <c r="A144" s="32">
        <v>45767</v>
      </c>
      <c r="B144" s="31" t="s">
        <v>96</v>
      </c>
      <c r="C144" s="31" t="s">
        <v>8</v>
      </c>
      <c r="D144" s="31">
        <v>52</v>
      </c>
      <c r="E144" s="31">
        <v>105</v>
      </c>
      <c r="F144" s="31">
        <v>5460</v>
      </c>
      <c r="G144" s="31">
        <v>6442.8</v>
      </c>
      <c r="H144" s="31">
        <v>982.8</v>
      </c>
      <c r="I144" s="31" t="s">
        <v>8</v>
      </c>
    </row>
    <row r="145" spans="1:9" x14ac:dyDescent="0.25">
      <c r="A145" s="32">
        <v>45768</v>
      </c>
      <c r="B145" s="31" t="s">
        <v>9</v>
      </c>
      <c r="C145" s="31" t="s">
        <v>8</v>
      </c>
      <c r="D145" s="31">
        <v>52</v>
      </c>
      <c r="E145" s="31">
        <v>110</v>
      </c>
      <c r="F145" s="31">
        <v>5720</v>
      </c>
      <c r="G145" s="31">
        <v>6749.6</v>
      </c>
      <c r="H145" s="31">
        <v>1029.5999999999999</v>
      </c>
      <c r="I145" s="31" t="s">
        <v>8</v>
      </c>
    </row>
    <row r="146" spans="1:9" x14ac:dyDescent="0.25">
      <c r="A146" s="32">
        <v>45768</v>
      </c>
      <c r="B146" s="31" t="s">
        <v>17</v>
      </c>
      <c r="C146" s="31" t="s">
        <v>8</v>
      </c>
      <c r="D146" s="31">
        <v>420</v>
      </c>
      <c r="E146" s="31">
        <v>73</v>
      </c>
      <c r="F146" s="31">
        <v>30660</v>
      </c>
      <c r="G146" s="31">
        <v>36178.800000000003</v>
      </c>
      <c r="H146" s="31">
        <v>5518.8</v>
      </c>
      <c r="I146" s="31" t="s">
        <v>8</v>
      </c>
    </row>
    <row r="147" spans="1:9" x14ac:dyDescent="0.25">
      <c r="A147" s="32">
        <v>45768</v>
      </c>
      <c r="B147" s="31" t="s">
        <v>53</v>
      </c>
      <c r="C147" s="31" t="s">
        <v>8</v>
      </c>
      <c r="D147" s="31">
        <v>210</v>
      </c>
      <c r="E147" s="31">
        <v>86</v>
      </c>
      <c r="F147" s="31">
        <v>18060</v>
      </c>
      <c r="G147" s="31">
        <v>21310.799999999999</v>
      </c>
      <c r="H147" s="31">
        <v>3250.7999999999997</v>
      </c>
      <c r="I147" s="31" t="s">
        <v>8</v>
      </c>
    </row>
    <row r="148" spans="1:9" x14ac:dyDescent="0.25">
      <c r="A148" s="32">
        <v>45768</v>
      </c>
      <c r="B148" s="31" t="s">
        <v>99</v>
      </c>
      <c r="C148" s="31" t="s">
        <v>8</v>
      </c>
      <c r="D148" s="31">
        <v>26</v>
      </c>
      <c r="E148" s="31">
        <v>79</v>
      </c>
      <c r="F148" s="31">
        <v>2054</v>
      </c>
      <c r="G148" s="31">
        <v>2423.7199999999998</v>
      </c>
      <c r="H148" s="31">
        <v>369.71999999999997</v>
      </c>
      <c r="I148" s="31" t="s">
        <v>8</v>
      </c>
    </row>
    <row r="149" spans="1:9" x14ac:dyDescent="0.25">
      <c r="A149" s="32">
        <v>45768</v>
      </c>
      <c r="B149" s="31" t="s">
        <v>94</v>
      </c>
      <c r="C149" s="31" t="s">
        <v>8</v>
      </c>
      <c r="D149" s="31">
        <v>266</v>
      </c>
      <c r="E149" s="31">
        <v>117.78</v>
      </c>
      <c r="F149" s="31">
        <v>31330</v>
      </c>
      <c r="G149" s="31">
        <v>36969.4</v>
      </c>
      <c r="H149" s="31">
        <v>5639.4</v>
      </c>
      <c r="I149" s="31" t="s">
        <v>8</v>
      </c>
    </row>
    <row r="150" spans="1:9" x14ac:dyDescent="0.25">
      <c r="A150" s="32">
        <v>45768</v>
      </c>
      <c r="B150" s="31" t="s">
        <v>22</v>
      </c>
      <c r="C150" s="31" t="s">
        <v>8</v>
      </c>
      <c r="D150" s="31">
        <v>210</v>
      </c>
      <c r="E150" s="31">
        <v>70</v>
      </c>
      <c r="F150" s="31">
        <v>14700</v>
      </c>
      <c r="G150" s="31">
        <v>17346</v>
      </c>
      <c r="H150" s="31">
        <v>2646</v>
      </c>
      <c r="I150" s="31" t="s">
        <v>8</v>
      </c>
    </row>
    <row r="151" spans="1:9" x14ac:dyDescent="0.25">
      <c r="A151" s="32">
        <v>45768</v>
      </c>
      <c r="B151" s="31" t="s">
        <v>55</v>
      </c>
      <c r="C151" s="31" t="s">
        <v>8</v>
      </c>
      <c r="D151" s="31">
        <v>310</v>
      </c>
      <c r="E151" s="31">
        <v>98.97</v>
      </c>
      <c r="F151" s="31">
        <v>30680</v>
      </c>
      <c r="G151" s="31">
        <v>36202.400000000001</v>
      </c>
      <c r="H151" s="31">
        <v>5522.4</v>
      </c>
      <c r="I151" s="31" t="s">
        <v>8</v>
      </c>
    </row>
    <row r="152" spans="1:9" x14ac:dyDescent="0.25">
      <c r="A152" s="32">
        <v>45768</v>
      </c>
      <c r="B152" s="31" t="s">
        <v>96</v>
      </c>
      <c r="C152" s="31" t="s">
        <v>8</v>
      </c>
      <c r="D152" s="31">
        <v>208</v>
      </c>
      <c r="E152" s="31">
        <v>85</v>
      </c>
      <c r="F152" s="31">
        <v>17680</v>
      </c>
      <c r="G152" s="31">
        <v>20862.400000000001</v>
      </c>
      <c r="H152" s="31">
        <v>3182.4</v>
      </c>
      <c r="I152" s="31" t="s">
        <v>8</v>
      </c>
    </row>
    <row r="153" spans="1:9" x14ac:dyDescent="0.25">
      <c r="A153" s="32">
        <v>45768</v>
      </c>
      <c r="B153" s="31" t="s">
        <v>95</v>
      </c>
      <c r="C153" s="31" t="s">
        <v>8</v>
      </c>
      <c r="D153" s="31">
        <v>100</v>
      </c>
      <c r="E153" s="31">
        <v>104.1</v>
      </c>
      <c r="F153" s="31">
        <v>10410</v>
      </c>
      <c r="G153" s="31">
        <v>12283.8</v>
      </c>
      <c r="H153" s="31">
        <v>1873.8</v>
      </c>
      <c r="I153" s="31" t="s">
        <v>8</v>
      </c>
    </row>
    <row r="154" spans="1:9" x14ac:dyDescent="0.25">
      <c r="A154" s="32">
        <v>45768</v>
      </c>
      <c r="B154" s="31" t="s">
        <v>99</v>
      </c>
      <c r="C154" s="31" t="s">
        <v>8</v>
      </c>
      <c r="D154" s="31">
        <v>52</v>
      </c>
      <c r="E154" s="31">
        <v>115</v>
      </c>
      <c r="F154" s="31">
        <v>5980</v>
      </c>
      <c r="G154" s="31">
        <v>7056.4</v>
      </c>
      <c r="H154" s="31">
        <v>1076.3999999999999</v>
      </c>
      <c r="I154" s="31" t="s">
        <v>8</v>
      </c>
    </row>
    <row r="155" spans="1:9" x14ac:dyDescent="0.25">
      <c r="A155" s="32">
        <v>45768</v>
      </c>
      <c r="B155" s="31" t="s">
        <v>95</v>
      </c>
      <c r="C155" s="31" t="s">
        <v>8</v>
      </c>
      <c r="D155" s="31">
        <v>150</v>
      </c>
      <c r="E155" s="31">
        <v>163</v>
      </c>
      <c r="F155" s="31">
        <v>24450</v>
      </c>
      <c r="G155" s="31">
        <v>28851</v>
      </c>
      <c r="H155" s="31">
        <v>4401</v>
      </c>
      <c r="I155" s="31" t="s">
        <v>8</v>
      </c>
    </row>
    <row r="156" spans="1:9" x14ac:dyDescent="0.25">
      <c r="A156" s="32">
        <v>45768</v>
      </c>
      <c r="B156" s="31" t="s">
        <v>99</v>
      </c>
      <c r="C156" s="31" t="s">
        <v>8</v>
      </c>
      <c r="D156" s="31">
        <v>52</v>
      </c>
      <c r="E156" s="31">
        <v>192</v>
      </c>
      <c r="F156" s="31">
        <v>9984</v>
      </c>
      <c r="G156" s="31">
        <v>11781.119999999999</v>
      </c>
      <c r="H156" s="31">
        <v>1797.12</v>
      </c>
      <c r="I156" s="31" t="s">
        <v>8</v>
      </c>
    </row>
    <row r="157" spans="1:9" x14ac:dyDescent="0.25">
      <c r="A157" s="32">
        <v>45768</v>
      </c>
      <c r="B157" s="31" t="s">
        <v>99</v>
      </c>
      <c r="C157" s="31" t="s">
        <v>8</v>
      </c>
      <c r="D157" s="31">
        <v>26</v>
      </c>
      <c r="E157" s="31">
        <v>115</v>
      </c>
      <c r="F157" s="31">
        <v>1090</v>
      </c>
      <c r="G157" s="31">
        <v>1286.2</v>
      </c>
      <c r="H157" s="31">
        <v>196.2</v>
      </c>
      <c r="I157" s="31" t="s">
        <v>8</v>
      </c>
    </row>
    <row r="158" spans="1:9" x14ac:dyDescent="0.25">
      <c r="A158" s="32">
        <v>45769</v>
      </c>
      <c r="B158" s="31" t="s">
        <v>99</v>
      </c>
      <c r="C158" s="31" t="s">
        <v>8</v>
      </c>
      <c r="D158" s="31">
        <v>2</v>
      </c>
      <c r="E158" s="31">
        <v>220</v>
      </c>
      <c r="F158" s="31">
        <v>440</v>
      </c>
      <c r="G158" s="31">
        <v>519.20000000000005</v>
      </c>
      <c r="H158" s="31">
        <v>79.2</v>
      </c>
      <c r="I158" s="31" t="s">
        <v>8</v>
      </c>
    </row>
    <row r="159" spans="1:9" x14ac:dyDescent="0.25">
      <c r="A159" s="32">
        <v>45769</v>
      </c>
      <c r="B159" s="31" t="s">
        <v>50</v>
      </c>
      <c r="C159" s="31" t="s">
        <v>8</v>
      </c>
      <c r="D159" s="31">
        <v>52</v>
      </c>
      <c r="E159" s="31">
        <v>130</v>
      </c>
      <c r="F159" s="31">
        <v>6760</v>
      </c>
      <c r="G159" s="31">
        <v>7976.8</v>
      </c>
      <c r="H159" s="31">
        <v>1216.8</v>
      </c>
      <c r="I159" s="31" t="s">
        <v>8</v>
      </c>
    </row>
    <row r="160" spans="1:9" x14ac:dyDescent="0.25">
      <c r="A160" s="32">
        <v>45769</v>
      </c>
      <c r="B160" s="31" t="s">
        <v>42</v>
      </c>
      <c r="C160" s="31" t="s">
        <v>8</v>
      </c>
      <c r="D160" s="31">
        <v>297</v>
      </c>
      <c r="E160" s="31">
        <v>95.84</v>
      </c>
      <c r="F160" s="31">
        <v>28465</v>
      </c>
      <c r="G160" s="31">
        <v>33588.699999999997</v>
      </c>
      <c r="H160" s="31">
        <v>5123.7</v>
      </c>
      <c r="I160" s="31" t="s">
        <v>8</v>
      </c>
    </row>
    <row r="161" spans="1:9" x14ac:dyDescent="0.25">
      <c r="A161" s="32">
        <v>45769</v>
      </c>
      <c r="B161" s="31" t="s">
        <v>11</v>
      </c>
      <c r="C161" s="31" t="s">
        <v>8</v>
      </c>
      <c r="D161" s="31">
        <v>70</v>
      </c>
      <c r="E161" s="31">
        <v>77.5</v>
      </c>
      <c r="F161" s="31">
        <v>5425</v>
      </c>
      <c r="G161" s="31">
        <v>6401.5</v>
      </c>
      <c r="H161" s="31">
        <v>976.5</v>
      </c>
      <c r="I161" s="31" t="s">
        <v>8</v>
      </c>
    </row>
    <row r="162" spans="1:9" x14ac:dyDescent="0.25">
      <c r="A162" s="32">
        <v>45769</v>
      </c>
      <c r="B162" s="31" t="s">
        <v>103</v>
      </c>
      <c r="C162" s="31" t="s">
        <v>8</v>
      </c>
      <c r="D162" s="31">
        <v>26</v>
      </c>
      <c r="E162" s="31">
        <v>115</v>
      </c>
      <c r="F162" s="31">
        <v>11375</v>
      </c>
      <c r="G162" s="31">
        <v>13422.5</v>
      </c>
      <c r="H162" s="31">
        <v>2047.5</v>
      </c>
      <c r="I162" s="31" t="s">
        <v>8</v>
      </c>
    </row>
    <row r="163" spans="1:9" x14ac:dyDescent="0.25">
      <c r="A163" s="32">
        <v>45769</v>
      </c>
      <c r="B163" s="31" t="s">
        <v>93</v>
      </c>
      <c r="C163" s="31" t="s">
        <v>8</v>
      </c>
      <c r="D163" s="31">
        <v>10</v>
      </c>
      <c r="E163" s="31">
        <v>60</v>
      </c>
      <c r="F163" s="31">
        <v>600</v>
      </c>
      <c r="G163" s="31">
        <v>708</v>
      </c>
      <c r="H163" s="31">
        <v>108</v>
      </c>
      <c r="I163" s="31" t="s">
        <v>8</v>
      </c>
    </row>
    <row r="164" spans="1:9" x14ac:dyDescent="0.25">
      <c r="A164" s="32">
        <v>45769</v>
      </c>
      <c r="B164" s="31" t="s">
        <v>96</v>
      </c>
      <c r="C164" s="31" t="s">
        <v>8</v>
      </c>
      <c r="D164" s="31">
        <v>70</v>
      </c>
      <c r="E164" s="31">
        <v>62</v>
      </c>
      <c r="F164" s="31">
        <v>4340</v>
      </c>
      <c r="G164" s="31">
        <v>5121.2</v>
      </c>
      <c r="H164" s="31">
        <v>781.19999999999993</v>
      </c>
      <c r="I164" s="31" t="s">
        <v>8</v>
      </c>
    </row>
    <row r="165" spans="1:9" x14ac:dyDescent="0.25">
      <c r="A165" s="32">
        <v>45769</v>
      </c>
      <c r="B165" s="31" t="s">
        <v>23</v>
      </c>
      <c r="C165" s="31" t="s">
        <v>8</v>
      </c>
      <c r="D165" s="31">
        <v>5</v>
      </c>
      <c r="E165" s="31">
        <v>90</v>
      </c>
      <c r="F165" s="31">
        <v>450</v>
      </c>
      <c r="G165" s="31">
        <v>531</v>
      </c>
      <c r="H165" s="31">
        <v>81</v>
      </c>
      <c r="I165" s="31" t="s">
        <v>8</v>
      </c>
    </row>
    <row r="166" spans="1:9" x14ac:dyDescent="0.25">
      <c r="A166" s="32">
        <v>45769</v>
      </c>
      <c r="B166" s="31" t="s">
        <v>56</v>
      </c>
      <c r="C166" s="31" t="s">
        <v>8</v>
      </c>
      <c r="D166" s="31">
        <v>26</v>
      </c>
      <c r="E166" s="31">
        <v>130</v>
      </c>
      <c r="F166" s="31">
        <v>3380</v>
      </c>
      <c r="G166" s="31">
        <v>3988.4</v>
      </c>
      <c r="H166" s="31">
        <v>608.4</v>
      </c>
      <c r="I166" s="31" t="s">
        <v>8</v>
      </c>
    </row>
    <row r="167" spans="1:9" x14ac:dyDescent="0.25">
      <c r="A167" s="32">
        <v>45769</v>
      </c>
      <c r="B167" s="31" t="s">
        <v>93</v>
      </c>
      <c r="C167" s="31" t="s">
        <v>8</v>
      </c>
      <c r="D167" s="31">
        <v>78</v>
      </c>
      <c r="E167" s="31">
        <v>120</v>
      </c>
      <c r="F167" s="31">
        <v>9360</v>
      </c>
      <c r="G167" s="31">
        <v>11044.8</v>
      </c>
      <c r="H167" s="31">
        <v>1684.8</v>
      </c>
      <c r="I167" s="31" t="s">
        <v>8</v>
      </c>
    </row>
    <row r="168" spans="1:9" x14ac:dyDescent="0.25">
      <c r="A168" s="32">
        <v>45769</v>
      </c>
      <c r="B168" s="31" t="s">
        <v>89</v>
      </c>
      <c r="C168" s="31" t="s">
        <v>8</v>
      </c>
      <c r="D168" s="31">
        <v>26</v>
      </c>
      <c r="E168" s="31">
        <v>210</v>
      </c>
      <c r="F168" s="31">
        <v>5460</v>
      </c>
      <c r="G168" s="31">
        <v>6442.8</v>
      </c>
      <c r="H168" s="31">
        <v>982.8</v>
      </c>
      <c r="I168" s="31" t="s">
        <v>8</v>
      </c>
    </row>
    <row r="169" spans="1:9" x14ac:dyDescent="0.25">
      <c r="A169" s="32">
        <v>45770</v>
      </c>
      <c r="B169" s="31" t="s">
        <v>95</v>
      </c>
      <c r="C169" s="31" t="s">
        <v>8</v>
      </c>
      <c r="D169" s="31">
        <v>220</v>
      </c>
      <c r="E169" s="31">
        <v>55</v>
      </c>
      <c r="F169" s="31">
        <v>12100</v>
      </c>
      <c r="G169" s="31">
        <v>14278</v>
      </c>
      <c r="H169" s="31">
        <v>2178</v>
      </c>
      <c r="I169" s="31" t="s">
        <v>8</v>
      </c>
    </row>
    <row r="170" spans="1:9" x14ac:dyDescent="0.25">
      <c r="A170" s="32">
        <v>45770</v>
      </c>
      <c r="B170" s="31" t="s">
        <v>63</v>
      </c>
      <c r="C170" s="31" t="s">
        <v>8</v>
      </c>
      <c r="D170" s="31">
        <v>60</v>
      </c>
      <c r="E170" s="31">
        <v>320</v>
      </c>
      <c r="F170" s="31">
        <v>19200</v>
      </c>
      <c r="G170" s="31">
        <v>22656</v>
      </c>
      <c r="H170" s="31">
        <v>3456</v>
      </c>
      <c r="I170" s="31" t="s">
        <v>8</v>
      </c>
    </row>
    <row r="171" spans="1:9" x14ac:dyDescent="0.25">
      <c r="A171" s="32">
        <v>45770</v>
      </c>
      <c r="B171" s="31" t="s">
        <v>84</v>
      </c>
      <c r="C171" s="31" t="s">
        <v>8</v>
      </c>
      <c r="D171" s="31">
        <v>10</v>
      </c>
      <c r="E171" s="31">
        <v>120</v>
      </c>
      <c r="F171" s="31">
        <v>1200</v>
      </c>
      <c r="G171" s="31">
        <v>1416</v>
      </c>
      <c r="H171" s="31">
        <v>216</v>
      </c>
      <c r="I171" s="31" t="s">
        <v>8</v>
      </c>
    </row>
    <row r="172" spans="1:9" x14ac:dyDescent="0.25">
      <c r="A172" s="32">
        <v>45770</v>
      </c>
      <c r="B172" s="31" t="s">
        <v>24</v>
      </c>
      <c r="C172" s="31" t="s">
        <v>8</v>
      </c>
      <c r="D172" s="31">
        <v>26</v>
      </c>
      <c r="E172" s="31">
        <v>115</v>
      </c>
      <c r="F172" s="31">
        <v>440</v>
      </c>
      <c r="G172" s="31">
        <v>519.20000000000005</v>
      </c>
      <c r="H172" s="31">
        <v>79.2</v>
      </c>
      <c r="I172" s="31" t="s">
        <v>8</v>
      </c>
    </row>
    <row r="173" spans="1:9" x14ac:dyDescent="0.25">
      <c r="A173" s="32">
        <v>45770</v>
      </c>
      <c r="B173" s="31" t="s">
        <v>99</v>
      </c>
      <c r="C173" s="31" t="s">
        <v>8</v>
      </c>
      <c r="D173" s="31">
        <v>2</v>
      </c>
      <c r="E173" s="31">
        <v>282</v>
      </c>
      <c r="F173" s="31">
        <v>564</v>
      </c>
      <c r="G173" s="31">
        <v>665.52</v>
      </c>
      <c r="H173" s="31">
        <v>101.52</v>
      </c>
      <c r="I173" s="31" t="s">
        <v>8</v>
      </c>
    </row>
    <row r="174" spans="1:9" x14ac:dyDescent="0.25">
      <c r="A174" s="32">
        <v>45770</v>
      </c>
      <c r="B174" s="31" t="s">
        <v>102</v>
      </c>
      <c r="C174" s="31" t="s">
        <v>8</v>
      </c>
      <c r="D174" s="31">
        <v>4</v>
      </c>
      <c r="E174" s="31">
        <v>245</v>
      </c>
      <c r="F174" s="31">
        <v>980</v>
      </c>
      <c r="G174" s="31">
        <v>1156.4000000000001</v>
      </c>
      <c r="H174" s="31">
        <v>176.4</v>
      </c>
      <c r="I174" s="31" t="s">
        <v>8</v>
      </c>
    </row>
    <row r="175" spans="1:9" x14ac:dyDescent="0.25">
      <c r="A175" s="32">
        <v>45770</v>
      </c>
      <c r="B175" s="31" t="s">
        <v>96</v>
      </c>
      <c r="C175" s="31" t="s">
        <v>8</v>
      </c>
      <c r="D175" s="31">
        <v>210</v>
      </c>
      <c r="E175" s="31">
        <v>62</v>
      </c>
      <c r="F175" s="31">
        <v>13020</v>
      </c>
      <c r="G175" s="31">
        <v>15363.6</v>
      </c>
      <c r="H175" s="31">
        <v>2343.6</v>
      </c>
      <c r="I175" s="31" t="s">
        <v>8</v>
      </c>
    </row>
    <row r="176" spans="1:9" x14ac:dyDescent="0.25">
      <c r="A176" s="32">
        <v>45770</v>
      </c>
      <c r="B176" s="31" t="s">
        <v>56</v>
      </c>
      <c r="C176" s="31" t="s">
        <v>8</v>
      </c>
      <c r="D176" s="31">
        <v>30</v>
      </c>
      <c r="E176" s="31">
        <v>175</v>
      </c>
      <c r="F176" s="31">
        <v>5250</v>
      </c>
      <c r="G176" s="31">
        <v>6195</v>
      </c>
      <c r="H176" s="31">
        <v>945</v>
      </c>
      <c r="I176" s="31" t="s">
        <v>8</v>
      </c>
    </row>
    <row r="177" spans="1:9" x14ac:dyDescent="0.25">
      <c r="A177" s="32">
        <v>45770</v>
      </c>
      <c r="B177" s="31" t="s">
        <v>93</v>
      </c>
      <c r="C177" s="31" t="s">
        <v>8</v>
      </c>
      <c r="D177" s="31">
        <v>26</v>
      </c>
      <c r="E177" s="31">
        <v>115</v>
      </c>
      <c r="F177" s="31">
        <v>2990</v>
      </c>
      <c r="G177" s="31">
        <v>3528.2</v>
      </c>
      <c r="H177" s="31">
        <v>538.19999999999993</v>
      </c>
      <c r="I177" s="31" t="s">
        <v>8</v>
      </c>
    </row>
    <row r="178" spans="1:9" x14ac:dyDescent="0.25">
      <c r="A178" s="32">
        <v>45770</v>
      </c>
      <c r="B178" s="31" t="s">
        <v>99</v>
      </c>
      <c r="C178" s="31" t="s">
        <v>8</v>
      </c>
      <c r="D178" s="31">
        <v>2</v>
      </c>
      <c r="E178" s="31">
        <v>200</v>
      </c>
      <c r="F178" s="31">
        <v>400</v>
      </c>
      <c r="G178" s="31">
        <v>472</v>
      </c>
      <c r="H178" s="31">
        <v>72</v>
      </c>
      <c r="I178" s="31" t="s">
        <v>8</v>
      </c>
    </row>
    <row r="179" spans="1:9" x14ac:dyDescent="0.25">
      <c r="A179" s="32">
        <v>45772</v>
      </c>
      <c r="B179" s="31" t="s">
        <v>9</v>
      </c>
      <c r="C179" s="31" t="s">
        <v>8</v>
      </c>
      <c r="D179" s="31">
        <v>31</v>
      </c>
      <c r="E179" s="31">
        <v>111.61</v>
      </c>
      <c r="F179" s="31">
        <v>3460</v>
      </c>
      <c r="G179" s="31">
        <v>4082.8</v>
      </c>
      <c r="H179" s="31">
        <v>622.79999999999995</v>
      </c>
      <c r="I179" s="31" t="s">
        <v>8</v>
      </c>
    </row>
    <row r="180" spans="1:9" x14ac:dyDescent="0.25">
      <c r="A180" s="32">
        <v>45772</v>
      </c>
      <c r="B180" s="31" t="s">
        <v>93</v>
      </c>
      <c r="C180" s="31" t="s">
        <v>8</v>
      </c>
      <c r="D180" s="31">
        <v>139</v>
      </c>
      <c r="E180" s="31">
        <v>98.98</v>
      </c>
      <c r="F180" s="31">
        <v>13758</v>
      </c>
      <c r="G180" s="31">
        <v>16234.44</v>
      </c>
      <c r="H180" s="31">
        <v>2476.44</v>
      </c>
      <c r="I180" s="31" t="s">
        <v>8</v>
      </c>
    </row>
    <row r="181" spans="1:9" x14ac:dyDescent="0.25">
      <c r="A181" s="32">
        <v>45772</v>
      </c>
      <c r="B181" s="31" t="s">
        <v>99</v>
      </c>
      <c r="C181" s="31" t="s">
        <v>8</v>
      </c>
      <c r="D181" s="31">
        <v>262</v>
      </c>
      <c r="E181" s="31">
        <v>128.81</v>
      </c>
      <c r="F181" s="31">
        <v>33748</v>
      </c>
      <c r="G181" s="31">
        <v>39822.639999999999</v>
      </c>
      <c r="H181" s="31">
        <v>6074.6399999999994</v>
      </c>
      <c r="I181" s="31" t="s">
        <v>8</v>
      </c>
    </row>
    <row r="182" spans="1:9" x14ac:dyDescent="0.25">
      <c r="A182" s="32">
        <v>45772</v>
      </c>
      <c r="B182" s="31" t="s">
        <v>9</v>
      </c>
      <c r="C182" s="31" t="s">
        <v>8</v>
      </c>
      <c r="D182" s="31">
        <v>26</v>
      </c>
      <c r="E182" s="31">
        <v>110</v>
      </c>
      <c r="F182" s="31">
        <v>2860</v>
      </c>
      <c r="G182" s="31">
        <v>3374.8</v>
      </c>
      <c r="H182" s="31">
        <v>514.79999999999995</v>
      </c>
      <c r="I182" s="31" t="s">
        <v>8</v>
      </c>
    </row>
    <row r="183" spans="1:9" x14ac:dyDescent="0.25">
      <c r="A183" s="32">
        <v>45772</v>
      </c>
      <c r="B183" s="31" t="s">
        <v>99</v>
      </c>
      <c r="C183" s="31" t="s">
        <v>8</v>
      </c>
      <c r="D183" s="31">
        <v>78</v>
      </c>
      <c r="E183" s="31">
        <v>192</v>
      </c>
      <c r="F183" s="31">
        <v>14976</v>
      </c>
      <c r="G183" s="31">
        <v>17671.68</v>
      </c>
      <c r="H183" s="31">
        <v>2695.68</v>
      </c>
      <c r="I183" s="31" t="s">
        <v>8</v>
      </c>
    </row>
    <row r="184" spans="1:9" x14ac:dyDescent="0.25">
      <c r="A184" s="32">
        <v>45772</v>
      </c>
      <c r="B184" s="31" t="s">
        <v>15</v>
      </c>
      <c r="C184" s="31" t="s">
        <v>8</v>
      </c>
      <c r="D184" s="31">
        <v>210</v>
      </c>
      <c r="E184" s="31">
        <v>100</v>
      </c>
      <c r="F184" s="31">
        <v>21000</v>
      </c>
      <c r="G184" s="31">
        <v>24780</v>
      </c>
      <c r="H184" s="31">
        <v>3780</v>
      </c>
      <c r="I184" s="31" t="s">
        <v>8</v>
      </c>
    </row>
    <row r="185" spans="1:9" x14ac:dyDescent="0.25">
      <c r="A185" s="32">
        <v>45772</v>
      </c>
      <c r="B185" s="31" t="s">
        <v>75</v>
      </c>
      <c r="C185" s="31" t="s">
        <v>8</v>
      </c>
      <c r="D185" s="31">
        <v>35</v>
      </c>
      <c r="E185" s="31">
        <v>118</v>
      </c>
      <c r="F185" s="31">
        <v>4130</v>
      </c>
      <c r="G185" s="31">
        <v>4873.3999999999996</v>
      </c>
      <c r="H185" s="31">
        <v>743.4</v>
      </c>
      <c r="I185" s="31" t="s">
        <v>8</v>
      </c>
    </row>
    <row r="186" spans="1:9" x14ac:dyDescent="0.25">
      <c r="A186" s="32">
        <v>45772</v>
      </c>
      <c r="B186" s="31" t="s">
        <v>94</v>
      </c>
      <c r="C186" s="31" t="s">
        <v>8</v>
      </c>
      <c r="D186" s="31">
        <v>26</v>
      </c>
      <c r="E186" s="31">
        <v>115</v>
      </c>
      <c r="F186" s="31">
        <v>31620</v>
      </c>
      <c r="G186" s="31">
        <v>37311.599999999999</v>
      </c>
      <c r="H186" s="31">
        <v>5691.5999999999995</v>
      </c>
      <c r="I186" s="31" t="s">
        <v>8</v>
      </c>
    </row>
    <row r="187" spans="1:9" x14ac:dyDescent="0.25">
      <c r="A187" s="32">
        <v>45772</v>
      </c>
      <c r="B187" s="31" t="s">
        <v>99</v>
      </c>
      <c r="C187" s="31" t="s">
        <v>8</v>
      </c>
      <c r="D187" s="31">
        <v>3150</v>
      </c>
      <c r="E187" s="31">
        <v>61</v>
      </c>
      <c r="F187" s="31">
        <v>192150</v>
      </c>
      <c r="G187" s="31">
        <v>226737</v>
      </c>
      <c r="H187" s="31">
        <v>34587</v>
      </c>
      <c r="I187" s="31" t="s">
        <v>8</v>
      </c>
    </row>
    <row r="188" spans="1:9" x14ac:dyDescent="0.25">
      <c r="A188" s="32">
        <v>45772</v>
      </c>
      <c r="B188" s="31" t="s">
        <v>53</v>
      </c>
      <c r="C188" s="31" t="s">
        <v>8</v>
      </c>
      <c r="D188" s="31">
        <v>210</v>
      </c>
      <c r="E188" s="31">
        <v>104</v>
      </c>
      <c r="F188" s="31">
        <v>21840</v>
      </c>
      <c r="G188" s="31">
        <v>25771.200000000001</v>
      </c>
      <c r="H188" s="31">
        <v>3931.2</v>
      </c>
      <c r="I188" s="31" t="s">
        <v>8</v>
      </c>
    </row>
    <row r="189" spans="1:9" x14ac:dyDescent="0.25">
      <c r="A189" s="32">
        <v>45772</v>
      </c>
      <c r="B189" s="31" t="s">
        <v>99</v>
      </c>
      <c r="C189" s="31" t="s">
        <v>8</v>
      </c>
      <c r="D189" s="31">
        <v>26</v>
      </c>
      <c r="E189" s="31">
        <v>120</v>
      </c>
      <c r="F189" s="31">
        <v>3120</v>
      </c>
      <c r="G189" s="31">
        <v>3681.6</v>
      </c>
      <c r="H189" s="31">
        <v>561.6</v>
      </c>
      <c r="I189" s="31" t="s">
        <v>8</v>
      </c>
    </row>
    <row r="190" spans="1:9" x14ac:dyDescent="0.25">
      <c r="A190" s="32">
        <v>45772</v>
      </c>
      <c r="B190" s="31" t="s">
        <v>94</v>
      </c>
      <c r="C190" s="31" t="s">
        <v>8</v>
      </c>
      <c r="D190" s="31">
        <v>35</v>
      </c>
      <c r="E190" s="31">
        <v>90</v>
      </c>
      <c r="F190" s="31">
        <v>3150</v>
      </c>
      <c r="G190" s="31">
        <v>3717</v>
      </c>
      <c r="H190" s="31">
        <v>567</v>
      </c>
      <c r="I190" s="31" t="s">
        <v>8</v>
      </c>
    </row>
    <row r="191" spans="1:9" x14ac:dyDescent="0.25">
      <c r="A191" s="32">
        <v>45773</v>
      </c>
      <c r="B191" s="31" t="s">
        <v>99</v>
      </c>
      <c r="C191" s="31" t="s">
        <v>8</v>
      </c>
      <c r="D191" s="31">
        <v>26</v>
      </c>
      <c r="E191" s="31">
        <v>79</v>
      </c>
      <c r="F191" s="31">
        <v>2054</v>
      </c>
      <c r="G191" s="31">
        <v>2423.7199999999998</v>
      </c>
      <c r="H191" s="31">
        <v>369.71999999999997</v>
      </c>
      <c r="I191" s="31" t="s">
        <v>8</v>
      </c>
    </row>
    <row r="192" spans="1:9" x14ac:dyDescent="0.25">
      <c r="A192" s="32">
        <v>45773</v>
      </c>
      <c r="B192" s="31" t="s">
        <v>59</v>
      </c>
      <c r="C192" s="31" t="s">
        <v>8</v>
      </c>
      <c r="D192" s="31">
        <v>26</v>
      </c>
      <c r="E192" s="31">
        <v>100</v>
      </c>
      <c r="F192" s="31">
        <v>2600</v>
      </c>
      <c r="G192" s="31">
        <v>3068</v>
      </c>
      <c r="H192" s="31">
        <v>468</v>
      </c>
      <c r="I192" s="31" t="s">
        <v>8</v>
      </c>
    </row>
    <row r="193" spans="1:9" x14ac:dyDescent="0.25">
      <c r="A193" s="32">
        <v>45773</v>
      </c>
      <c r="B193" s="31" t="s">
        <v>91</v>
      </c>
      <c r="C193" s="31" t="s">
        <v>8</v>
      </c>
      <c r="D193" s="31">
        <v>26</v>
      </c>
      <c r="E193" s="31">
        <v>112</v>
      </c>
      <c r="F193" s="31">
        <v>2912</v>
      </c>
      <c r="G193" s="31">
        <v>3436.16</v>
      </c>
      <c r="H193" s="31">
        <v>524.16</v>
      </c>
      <c r="I193" s="31" t="s">
        <v>8</v>
      </c>
    </row>
    <row r="194" spans="1:9" x14ac:dyDescent="0.25">
      <c r="A194" s="32">
        <v>45773</v>
      </c>
      <c r="B194" s="31" t="s">
        <v>99</v>
      </c>
      <c r="C194" s="31" t="s">
        <v>8</v>
      </c>
      <c r="D194" s="31">
        <v>52</v>
      </c>
      <c r="E194" s="31">
        <v>120</v>
      </c>
      <c r="F194" s="31">
        <v>6240</v>
      </c>
      <c r="G194" s="31">
        <v>7363.2</v>
      </c>
      <c r="H194" s="31">
        <v>1123.2</v>
      </c>
      <c r="I194" s="31" t="s">
        <v>8</v>
      </c>
    </row>
    <row r="195" spans="1:9" x14ac:dyDescent="0.25">
      <c r="A195" s="32">
        <v>45773</v>
      </c>
      <c r="B195" s="31" t="s">
        <v>86</v>
      </c>
      <c r="C195" s="31" t="s">
        <v>8</v>
      </c>
      <c r="D195" s="31">
        <v>240</v>
      </c>
      <c r="E195" s="31">
        <v>93.13</v>
      </c>
      <c r="F195" s="31">
        <v>22350</v>
      </c>
      <c r="G195" s="31">
        <v>26373</v>
      </c>
      <c r="H195" s="31">
        <v>4023</v>
      </c>
      <c r="I195" s="31" t="s">
        <v>8</v>
      </c>
    </row>
    <row r="196" spans="1:9" x14ac:dyDescent="0.25">
      <c r="A196" s="32">
        <v>45773</v>
      </c>
      <c r="B196" s="31" t="s">
        <v>99</v>
      </c>
      <c r="C196" s="31" t="s">
        <v>8</v>
      </c>
      <c r="D196" s="31">
        <v>26</v>
      </c>
      <c r="E196" s="31">
        <v>132</v>
      </c>
      <c r="F196" s="31">
        <v>3432</v>
      </c>
      <c r="G196" s="31">
        <v>4049.76</v>
      </c>
      <c r="H196" s="31">
        <v>617.76</v>
      </c>
      <c r="I196" s="31" t="s">
        <v>8</v>
      </c>
    </row>
    <row r="197" spans="1:9" x14ac:dyDescent="0.25">
      <c r="A197" s="32">
        <v>45773</v>
      </c>
      <c r="B197" s="31" t="s">
        <v>99</v>
      </c>
      <c r="C197" s="31" t="s">
        <v>8</v>
      </c>
      <c r="D197" s="31">
        <v>210</v>
      </c>
      <c r="E197" s="31">
        <v>105</v>
      </c>
      <c r="F197" s="31">
        <v>22050</v>
      </c>
      <c r="G197" s="31">
        <v>26019</v>
      </c>
      <c r="H197" s="31">
        <v>3969</v>
      </c>
      <c r="I197" s="31" t="s">
        <v>8</v>
      </c>
    </row>
    <row r="198" spans="1:9" x14ac:dyDescent="0.25">
      <c r="A198" s="32">
        <v>45773</v>
      </c>
      <c r="B198" s="31" t="s">
        <v>99</v>
      </c>
      <c r="C198" s="31" t="s">
        <v>8</v>
      </c>
      <c r="D198" s="31">
        <v>20</v>
      </c>
      <c r="E198" s="31">
        <v>90</v>
      </c>
      <c r="F198" s="31">
        <v>1800</v>
      </c>
      <c r="G198" s="31">
        <v>2124</v>
      </c>
      <c r="H198" s="31">
        <v>324</v>
      </c>
      <c r="I198" s="31" t="s">
        <v>8</v>
      </c>
    </row>
    <row r="199" spans="1:9" x14ac:dyDescent="0.25">
      <c r="A199" s="32">
        <v>45773</v>
      </c>
      <c r="B199" s="31" t="s">
        <v>96</v>
      </c>
      <c r="C199" s="31" t="s">
        <v>8</v>
      </c>
      <c r="D199" s="31">
        <v>78</v>
      </c>
      <c r="E199" s="31">
        <v>196.67</v>
      </c>
      <c r="F199" s="31">
        <v>15340</v>
      </c>
      <c r="G199" s="31">
        <v>18101.2</v>
      </c>
      <c r="H199" s="31">
        <v>2761.2</v>
      </c>
      <c r="I199" s="31" t="s">
        <v>8</v>
      </c>
    </row>
    <row r="200" spans="1:9" x14ac:dyDescent="0.25">
      <c r="A200" s="32">
        <v>45773</v>
      </c>
      <c r="B200" s="31" t="s">
        <v>94</v>
      </c>
      <c r="C200" s="31" t="s">
        <v>8</v>
      </c>
      <c r="D200" s="31">
        <v>36</v>
      </c>
      <c r="E200" s="31">
        <v>108</v>
      </c>
      <c r="F200" s="31">
        <v>3888</v>
      </c>
      <c r="G200" s="31">
        <v>4587.84</v>
      </c>
      <c r="H200" s="31">
        <v>699.83999999999992</v>
      </c>
      <c r="I200" s="31" t="s">
        <v>8</v>
      </c>
    </row>
    <row r="201" spans="1:9" x14ac:dyDescent="0.25">
      <c r="A201" s="32">
        <v>45773</v>
      </c>
      <c r="B201" s="31" t="s">
        <v>99</v>
      </c>
      <c r="C201" s="31" t="s">
        <v>8</v>
      </c>
      <c r="D201" s="31">
        <v>65</v>
      </c>
      <c r="E201" s="31">
        <v>93.46</v>
      </c>
      <c r="F201" s="31">
        <v>6075</v>
      </c>
      <c r="G201" s="31">
        <v>7168.5</v>
      </c>
      <c r="H201" s="31">
        <v>1093.5</v>
      </c>
      <c r="I201" s="31" t="s">
        <v>8</v>
      </c>
    </row>
    <row r="202" spans="1:9" x14ac:dyDescent="0.25">
      <c r="A202" s="32">
        <v>45774</v>
      </c>
      <c r="B202" s="31" t="s">
        <v>86</v>
      </c>
      <c r="C202" s="31" t="s">
        <v>8</v>
      </c>
      <c r="D202" s="31">
        <v>210</v>
      </c>
      <c r="E202" s="31">
        <v>80</v>
      </c>
      <c r="F202" s="31">
        <v>16800</v>
      </c>
      <c r="G202" s="31">
        <v>19824</v>
      </c>
      <c r="H202" s="31">
        <v>3024</v>
      </c>
      <c r="I202" s="31" t="s">
        <v>8</v>
      </c>
    </row>
    <row r="203" spans="1:9" x14ac:dyDescent="0.25">
      <c r="A203" s="32">
        <v>45774</v>
      </c>
      <c r="B203" s="31" t="s">
        <v>63</v>
      </c>
      <c r="C203" s="31" t="s">
        <v>8</v>
      </c>
      <c r="D203" s="31">
        <v>405</v>
      </c>
      <c r="E203" s="31">
        <v>176.78</v>
      </c>
      <c r="F203" s="31">
        <v>71595</v>
      </c>
      <c r="G203" s="31">
        <v>84482.1</v>
      </c>
      <c r="H203" s="31">
        <v>12887.1</v>
      </c>
      <c r="I203" s="31" t="s">
        <v>8</v>
      </c>
    </row>
    <row r="204" spans="1:9" x14ac:dyDescent="0.25">
      <c r="A204" s="32">
        <v>45774</v>
      </c>
      <c r="B204" s="31" t="s">
        <v>88</v>
      </c>
      <c r="C204" s="31" t="s">
        <v>8</v>
      </c>
      <c r="D204" s="31">
        <v>52</v>
      </c>
      <c r="E204" s="31">
        <v>120</v>
      </c>
      <c r="F204" s="31">
        <v>6240</v>
      </c>
      <c r="G204" s="31">
        <v>7363.2</v>
      </c>
      <c r="H204" s="31">
        <v>1123.2</v>
      </c>
      <c r="I204" s="31" t="s">
        <v>8</v>
      </c>
    </row>
    <row r="205" spans="1:9" x14ac:dyDescent="0.25">
      <c r="A205" s="32">
        <v>45774</v>
      </c>
      <c r="B205" s="31" t="s">
        <v>99</v>
      </c>
      <c r="C205" s="31" t="s">
        <v>8</v>
      </c>
      <c r="D205" s="31">
        <v>420</v>
      </c>
      <c r="E205" s="31">
        <v>71</v>
      </c>
      <c r="F205" s="31">
        <v>29820</v>
      </c>
      <c r="G205" s="31">
        <v>35187.599999999999</v>
      </c>
      <c r="H205" s="31">
        <v>5367.5999999999995</v>
      </c>
      <c r="I205" s="31" t="s">
        <v>8</v>
      </c>
    </row>
    <row r="206" spans="1:9" x14ac:dyDescent="0.25">
      <c r="A206" s="32">
        <v>45774</v>
      </c>
      <c r="B206" s="31" t="s">
        <v>99</v>
      </c>
      <c r="C206" s="31" t="s">
        <v>8</v>
      </c>
      <c r="D206" s="31">
        <v>31</v>
      </c>
      <c r="E206" s="31">
        <v>118.06</v>
      </c>
      <c r="F206" s="31">
        <v>3660</v>
      </c>
      <c r="G206" s="31">
        <v>4318.8</v>
      </c>
      <c r="H206" s="31">
        <v>658.8</v>
      </c>
      <c r="I206" s="31" t="s">
        <v>8</v>
      </c>
    </row>
    <row r="207" spans="1:9" x14ac:dyDescent="0.25">
      <c r="A207" s="32">
        <v>45774</v>
      </c>
      <c r="B207" s="31" t="s">
        <v>96</v>
      </c>
      <c r="C207" s="31" t="s">
        <v>8</v>
      </c>
      <c r="D207" s="31">
        <v>52</v>
      </c>
      <c r="E207" s="31">
        <v>125</v>
      </c>
      <c r="F207" s="31">
        <v>6500</v>
      </c>
      <c r="G207" s="31">
        <v>7670</v>
      </c>
      <c r="H207" s="31">
        <v>1170</v>
      </c>
      <c r="I207" s="31" t="s">
        <v>8</v>
      </c>
    </row>
    <row r="208" spans="1:9" x14ac:dyDescent="0.25">
      <c r="A208" s="32">
        <v>45774</v>
      </c>
      <c r="B208" s="31" t="s">
        <v>96</v>
      </c>
      <c r="C208" s="31" t="s">
        <v>8</v>
      </c>
      <c r="D208" s="31">
        <v>70</v>
      </c>
      <c r="E208" s="31">
        <v>105</v>
      </c>
      <c r="F208" s="31">
        <v>7350</v>
      </c>
      <c r="G208" s="31">
        <v>8673</v>
      </c>
      <c r="H208" s="31">
        <v>1323</v>
      </c>
      <c r="I208" s="31" t="s">
        <v>8</v>
      </c>
    </row>
    <row r="209" spans="1:9" x14ac:dyDescent="0.25">
      <c r="A209" s="32">
        <v>45774</v>
      </c>
      <c r="B209" s="31" t="s">
        <v>25</v>
      </c>
      <c r="C209" s="31" t="s">
        <v>8</v>
      </c>
      <c r="D209" s="31">
        <v>26</v>
      </c>
      <c r="E209" s="31">
        <v>115</v>
      </c>
      <c r="F209" s="31">
        <v>2990</v>
      </c>
      <c r="G209" s="31">
        <v>3528.2</v>
      </c>
      <c r="H209" s="31">
        <v>538.19999999999993</v>
      </c>
      <c r="I209" s="31" t="s">
        <v>8</v>
      </c>
    </row>
    <row r="210" spans="1:9" x14ac:dyDescent="0.25">
      <c r="A210" s="32">
        <v>45774</v>
      </c>
      <c r="B210" s="31" t="s">
        <v>99</v>
      </c>
      <c r="C210" s="31" t="s">
        <v>8</v>
      </c>
      <c r="D210" s="31">
        <v>26</v>
      </c>
      <c r="E210" s="31">
        <v>115</v>
      </c>
      <c r="F210" s="31">
        <v>1381.4</v>
      </c>
      <c r="G210" s="31">
        <v>1630</v>
      </c>
      <c r="H210" s="31">
        <v>248.65200000000002</v>
      </c>
      <c r="I210" s="31" t="s">
        <v>8</v>
      </c>
    </row>
    <row r="211" spans="1:9" x14ac:dyDescent="0.25">
      <c r="A211" s="32">
        <v>45774</v>
      </c>
      <c r="B211" s="31" t="s">
        <v>26</v>
      </c>
      <c r="C211" s="31" t="s">
        <v>8</v>
      </c>
      <c r="D211" s="31">
        <v>78</v>
      </c>
      <c r="E211" s="31">
        <v>147.66999999999999</v>
      </c>
      <c r="F211" s="31">
        <v>11518</v>
      </c>
      <c r="G211" s="31">
        <v>13591</v>
      </c>
      <c r="H211" s="31">
        <v>2073.2399999999998</v>
      </c>
      <c r="I211" s="31" t="s">
        <v>8</v>
      </c>
    </row>
    <row r="212" spans="1:9" x14ac:dyDescent="0.25">
      <c r="A212" s="32">
        <v>45775</v>
      </c>
      <c r="B212" s="31" t="s">
        <v>53</v>
      </c>
      <c r="C212" s="31" t="s">
        <v>8</v>
      </c>
      <c r="D212" s="31">
        <v>78</v>
      </c>
      <c r="E212" s="31">
        <v>95</v>
      </c>
      <c r="F212" s="31">
        <v>7410</v>
      </c>
      <c r="G212" s="31">
        <v>8744</v>
      </c>
      <c r="H212" s="31">
        <v>1333.8</v>
      </c>
      <c r="I212" s="31" t="s">
        <v>8</v>
      </c>
    </row>
    <row r="213" spans="1:9" x14ac:dyDescent="0.25">
      <c r="A213" s="32">
        <v>45776</v>
      </c>
      <c r="B213" s="31" t="s">
        <v>53</v>
      </c>
      <c r="C213" s="31" t="s">
        <v>8</v>
      </c>
      <c r="D213" s="31">
        <v>630</v>
      </c>
      <c r="E213" s="31">
        <v>79.33</v>
      </c>
      <c r="F213" s="31">
        <v>49980</v>
      </c>
      <c r="G213" s="31">
        <v>58976</v>
      </c>
      <c r="H213" s="31">
        <v>8996.4</v>
      </c>
      <c r="I213" s="31" t="s">
        <v>8</v>
      </c>
    </row>
    <row r="214" spans="1:9" x14ac:dyDescent="0.25">
      <c r="A214" s="32">
        <v>45776</v>
      </c>
      <c r="B214" s="31" t="s">
        <v>68</v>
      </c>
      <c r="C214" s="31" t="s">
        <v>8</v>
      </c>
      <c r="D214" s="31">
        <v>78</v>
      </c>
      <c r="E214" s="31">
        <v>120</v>
      </c>
      <c r="F214" s="31">
        <v>9360</v>
      </c>
      <c r="G214" s="31">
        <v>11045</v>
      </c>
      <c r="H214" s="31">
        <v>1684.8</v>
      </c>
      <c r="I214" s="31" t="s">
        <v>8</v>
      </c>
    </row>
    <row r="215" spans="1:9" x14ac:dyDescent="0.25">
      <c r="A215" s="32">
        <v>45776</v>
      </c>
      <c r="B215" s="31" t="s">
        <v>99</v>
      </c>
      <c r="C215" s="31" t="s">
        <v>8</v>
      </c>
      <c r="D215" s="31">
        <v>130</v>
      </c>
      <c r="E215" s="31">
        <v>114.4</v>
      </c>
      <c r="F215" s="31">
        <v>14872</v>
      </c>
      <c r="G215" s="31">
        <v>17549</v>
      </c>
      <c r="H215" s="31">
        <v>2676.96</v>
      </c>
      <c r="I215" s="31" t="s">
        <v>8</v>
      </c>
    </row>
    <row r="216" spans="1:9" x14ac:dyDescent="0.25">
      <c r="A216" s="32">
        <v>45776</v>
      </c>
      <c r="B216" s="31" t="s">
        <v>94</v>
      </c>
      <c r="C216" s="31" t="s">
        <v>8</v>
      </c>
      <c r="D216" s="31">
        <v>25</v>
      </c>
      <c r="E216" s="31">
        <v>70</v>
      </c>
      <c r="F216" s="31">
        <v>1750</v>
      </c>
      <c r="G216" s="31">
        <v>2065</v>
      </c>
      <c r="H216" s="31">
        <v>315</v>
      </c>
      <c r="I216" s="31" t="s">
        <v>8</v>
      </c>
    </row>
    <row r="217" spans="1:9" x14ac:dyDescent="0.25">
      <c r="A217" s="32">
        <v>45776</v>
      </c>
      <c r="B217" s="31" t="s">
        <v>96</v>
      </c>
      <c r="C217" s="31" t="s">
        <v>8</v>
      </c>
      <c r="D217" s="31">
        <v>104</v>
      </c>
      <c r="E217" s="31">
        <v>107.5</v>
      </c>
      <c r="F217" s="31">
        <v>11180</v>
      </c>
      <c r="G217" s="31">
        <v>13192</v>
      </c>
      <c r="H217" s="31">
        <v>2012.3999999999999</v>
      </c>
      <c r="I217" s="31" t="s">
        <v>8</v>
      </c>
    </row>
    <row r="218" spans="1:9" x14ac:dyDescent="0.25">
      <c r="A218" s="32">
        <v>45776</v>
      </c>
      <c r="B218" s="31" t="s">
        <v>99</v>
      </c>
      <c r="C218" s="31" t="s">
        <v>8</v>
      </c>
      <c r="D218" s="31">
        <v>26</v>
      </c>
      <c r="E218" s="31">
        <v>136</v>
      </c>
      <c r="F218" s="31">
        <v>3536</v>
      </c>
      <c r="G218" s="31">
        <v>4172</v>
      </c>
      <c r="H218" s="31">
        <v>636.48</v>
      </c>
      <c r="I218" s="31" t="s">
        <v>8</v>
      </c>
    </row>
    <row r="219" spans="1:9" x14ac:dyDescent="0.25">
      <c r="A219" s="32">
        <v>45776</v>
      </c>
      <c r="B219" s="31" t="s">
        <v>99</v>
      </c>
      <c r="C219" s="31" t="s">
        <v>8</v>
      </c>
      <c r="D219" s="31">
        <v>20</v>
      </c>
      <c r="E219" s="31">
        <v>98</v>
      </c>
      <c r="F219" s="31">
        <v>1960</v>
      </c>
      <c r="G219" s="31">
        <v>2313</v>
      </c>
      <c r="H219" s="31">
        <v>352.8</v>
      </c>
      <c r="I219" s="31" t="s">
        <v>8</v>
      </c>
    </row>
    <row r="220" spans="1:9" x14ac:dyDescent="0.25">
      <c r="A220" s="32">
        <v>45776</v>
      </c>
      <c r="B220" s="31" t="s">
        <v>82</v>
      </c>
      <c r="C220" s="31" t="s">
        <v>8</v>
      </c>
      <c r="D220" s="31">
        <v>760</v>
      </c>
      <c r="E220" s="31">
        <v>93.88</v>
      </c>
      <c r="F220" s="31">
        <v>71350</v>
      </c>
      <c r="G220" s="31">
        <v>84193</v>
      </c>
      <c r="H220" s="31">
        <v>12843</v>
      </c>
      <c r="I220" s="31" t="s">
        <v>8</v>
      </c>
    </row>
    <row r="221" spans="1:9" x14ac:dyDescent="0.25">
      <c r="A221" s="32">
        <v>45776</v>
      </c>
      <c r="B221" s="31" t="s">
        <v>99</v>
      </c>
      <c r="C221" s="31" t="s">
        <v>8</v>
      </c>
      <c r="D221" s="31">
        <v>26</v>
      </c>
      <c r="E221" s="31">
        <v>140</v>
      </c>
      <c r="F221" s="31">
        <v>3640</v>
      </c>
      <c r="G221" s="31">
        <v>4295</v>
      </c>
      <c r="H221" s="31">
        <v>655.19999999999993</v>
      </c>
      <c r="I221" s="31" t="s">
        <v>8</v>
      </c>
    </row>
    <row r="222" spans="1:9" x14ac:dyDescent="0.25">
      <c r="A222" s="32">
        <v>45777</v>
      </c>
      <c r="B222" s="31" t="s">
        <v>97</v>
      </c>
      <c r="C222" s="31" t="s">
        <v>8</v>
      </c>
      <c r="D222" s="31">
        <v>236</v>
      </c>
      <c r="E222" s="31">
        <v>126.57</v>
      </c>
      <c r="F222" s="31">
        <v>29870</v>
      </c>
      <c r="G222" s="31">
        <v>35247</v>
      </c>
      <c r="H222" s="31">
        <v>5376.5999999999995</v>
      </c>
      <c r="I222" s="31" t="s">
        <v>8</v>
      </c>
    </row>
    <row r="223" spans="1:9" x14ac:dyDescent="0.25">
      <c r="A223" s="32">
        <v>45777</v>
      </c>
      <c r="B223" s="31" t="s">
        <v>17</v>
      </c>
      <c r="C223" s="31" t="s">
        <v>8</v>
      </c>
      <c r="D223" s="31">
        <v>236</v>
      </c>
      <c r="E223" s="31">
        <v>95.89</v>
      </c>
      <c r="F223" s="31">
        <v>22630</v>
      </c>
      <c r="G223" s="31">
        <v>26703</v>
      </c>
      <c r="H223" s="31">
        <v>4073.3999999999996</v>
      </c>
      <c r="I223" s="31" t="s">
        <v>8</v>
      </c>
    </row>
    <row r="224" spans="1:9" x14ac:dyDescent="0.25">
      <c r="A224" s="32">
        <v>45777</v>
      </c>
      <c r="B224" s="31" t="s">
        <v>99</v>
      </c>
      <c r="C224" s="31" t="s">
        <v>8</v>
      </c>
      <c r="D224" s="31">
        <v>26</v>
      </c>
      <c r="E224" s="31">
        <v>250</v>
      </c>
      <c r="F224" s="31">
        <v>6500</v>
      </c>
      <c r="G224" s="31">
        <v>7670</v>
      </c>
      <c r="H224" s="31">
        <v>1170</v>
      </c>
      <c r="I224" s="31" t="s">
        <v>8</v>
      </c>
    </row>
    <row r="225" spans="1:9" x14ac:dyDescent="0.25">
      <c r="A225" s="32">
        <v>45777</v>
      </c>
      <c r="B225" s="31" t="s">
        <v>80</v>
      </c>
      <c r="C225" s="31" t="s">
        <v>8</v>
      </c>
      <c r="D225" s="31">
        <v>260</v>
      </c>
      <c r="E225" s="31">
        <v>95</v>
      </c>
      <c r="F225" s="31">
        <v>24700</v>
      </c>
      <c r="G225" s="31">
        <v>29146</v>
      </c>
      <c r="H225" s="31">
        <v>4446</v>
      </c>
      <c r="I225" s="31" t="s">
        <v>8</v>
      </c>
    </row>
    <row r="226" spans="1:9" x14ac:dyDescent="0.25">
      <c r="A226" s="32">
        <v>45777</v>
      </c>
      <c r="B226" s="31" t="s">
        <v>93</v>
      </c>
      <c r="C226" s="31" t="s">
        <v>8</v>
      </c>
      <c r="D226" s="31">
        <v>210</v>
      </c>
      <c r="E226" s="31">
        <v>80</v>
      </c>
      <c r="F226" s="31">
        <v>16800</v>
      </c>
      <c r="G226" s="31">
        <v>19824</v>
      </c>
      <c r="H226" s="31">
        <v>3024</v>
      </c>
      <c r="I226" s="31" t="s">
        <v>8</v>
      </c>
    </row>
    <row r="227" spans="1:9" x14ac:dyDescent="0.25">
      <c r="A227" s="32">
        <v>45778</v>
      </c>
      <c r="B227" s="31" t="s">
        <v>25</v>
      </c>
      <c r="C227" s="31" t="s">
        <v>8</v>
      </c>
      <c r="D227" s="31">
        <v>26</v>
      </c>
      <c r="E227" s="31">
        <v>115</v>
      </c>
      <c r="F227" s="31"/>
      <c r="G227" s="31"/>
      <c r="H227" s="31">
        <v>0</v>
      </c>
      <c r="I227" s="31" t="s">
        <v>8</v>
      </c>
    </row>
    <row r="228" spans="1:9" x14ac:dyDescent="0.25">
      <c r="A228" s="32">
        <v>45778</v>
      </c>
      <c r="B228" s="31" t="s">
        <v>95</v>
      </c>
      <c r="C228" s="31" t="s">
        <v>8</v>
      </c>
      <c r="D228" s="31">
        <v>220</v>
      </c>
      <c r="E228" s="31">
        <v>55</v>
      </c>
      <c r="F228" s="31">
        <v>12100</v>
      </c>
      <c r="G228" s="31">
        <v>14278</v>
      </c>
      <c r="H228" s="31">
        <v>2178</v>
      </c>
      <c r="I228" s="31" t="s">
        <v>8</v>
      </c>
    </row>
    <row r="229" spans="1:9" x14ac:dyDescent="0.25">
      <c r="A229" s="32">
        <v>45779</v>
      </c>
      <c r="B229" s="31" t="s">
        <v>95</v>
      </c>
      <c r="C229" s="31" t="s">
        <v>8</v>
      </c>
      <c r="D229" s="31">
        <v>78</v>
      </c>
      <c r="E229" s="31">
        <v>109</v>
      </c>
      <c r="F229" s="31">
        <v>8502</v>
      </c>
      <c r="G229" s="31">
        <v>10032</v>
      </c>
      <c r="H229" s="31">
        <v>1530.36</v>
      </c>
      <c r="I229" s="31" t="s">
        <v>8</v>
      </c>
    </row>
    <row r="230" spans="1:9" x14ac:dyDescent="0.25">
      <c r="A230" s="32">
        <v>45779</v>
      </c>
      <c r="B230" s="31" t="s">
        <v>27</v>
      </c>
      <c r="C230" s="31" t="s">
        <v>8</v>
      </c>
      <c r="D230" s="31">
        <v>624</v>
      </c>
      <c r="E230" s="31">
        <v>105</v>
      </c>
      <c r="F230" s="31">
        <v>65520</v>
      </c>
      <c r="G230" s="31">
        <v>77314</v>
      </c>
      <c r="H230" s="31">
        <v>11793.6</v>
      </c>
      <c r="I230" s="31" t="s">
        <v>8</v>
      </c>
    </row>
    <row r="231" spans="1:9" x14ac:dyDescent="0.25">
      <c r="A231" s="32">
        <v>45779</v>
      </c>
      <c r="B231" s="31" t="s">
        <v>42</v>
      </c>
      <c r="C231" s="31" t="s">
        <v>8</v>
      </c>
      <c r="D231" s="31">
        <v>297</v>
      </c>
      <c r="E231" s="31">
        <v>95.84</v>
      </c>
      <c r="F231" s="31">
        <v>28465</v>
      </c>
      <c r="G231" s="31">
        <v>33589</v>
      </c>
      <c r="H231" s="31">
        <v>5123.7</v>
      </c>
      <c r="I231" s="31" t="s">
        <v>8</v>
      </c>
    </row>
    <row r="232" spans="1:9" x14ac:dyDescent="0.25">
      <c r="A232" s="32">
        <v>45779</v>
      </c>
      <c r="B232" s="31" t="s">
        <v>96</v>
      </c>
      <c r="C232" s="31" t="s">
        <v>8</v>
      </c>
      <c r="D232" s="31">
        <v>420</v>
      </c>
      <c r="E232" s="31">
        <v>55</v>
      </c>
      <c r="F232" s="31">
        <v>23100</v>
      </c>
      <c r="G232" s="31">
        <v>27258</v>
      </c>
      <c r="H232" s="31">
        <v>4158</v>
      </c>
      <c r="I232" s="31" t="s">
        <v>8</v>
      </c>
    </row>
    <row r="233" spans="1:9" x14ac:dyDescent="0.25">
      <c r="A233" s="32">
        <v>45779</v>
      </c>
      <c r="B233" s="31" t="s">
        <v>53</v>
      </c>
      <c r="C233" s="31" t="s">
        <v>8</v>
      </c>
      <c r="D233" s="31">
        <v>880</v>
      </c>
      <c r="E233" s="31">
        <v>80.05</v>
      </c>
      <c r="F233" s="31">
        <v>70440</v>
      </c>
      <c r="G233" s="31">
        <v>83119</v>
      </c>
      <c r="H233" s="31">
        <v>12679.199999999999</v>
      </c>
      <c r="I233" s="31" t="s">
        <v>8</v>
      </c>
    </row>
    <row r="234" spans="1:9" x14ac:dyDescent="0.25">
      <c r="A234" s="32">
        <v>45779</v>
      </c>
      <c r="B234" s="31" t="s">
        <v>83</v>
      </c>
      <c r="C234" s="31" t="s">
        <v>8</v>
      </c>
      <c r="D234" s="31">
        <v>52</v>
      </c>
      <c r="E234" s="31">
        <v>112</v>
      </c>
      <c r="F234" s="31">
        <v>5824</v>
      </c>
      <c r="G234" s="31">
        <v>6872</v>
      </c>
      <c r="H234" s="31">
        <v>1048.32</v>
      </c>
      <c r="I234" s="31" t="s">
        <v>8</v>
      </c>
    </row>
    <row r="235" spans="1:9" x14ac:dyDescent="0.25">
      <c r="A235" s="32">
        <v>45779</v>
      </c>
      <c r="B235" s="31" t="s">
        <v>94</v>
      </c>
      <c r="C235" s="31" t="s">
        <v>8</v>
      </c>
      <c r="D235" s="31">
        <v>630</v>
      </c>
      <c r="E235" s="31">
        <v>75</v>
      </c>
      <c r="F235" s="31">
        <v>47250</v>
      </c>
      <c r="G235" s="31">
        <v>55755</v>
      </c>
      <c r="H235" s="31">
        <v>8505</v>
      </c>
      <c r="I235" s="31" t="s">
        <v>8</v>
      </c>
    </row>
    <row r="236" spans="1:9" x14ac:dyDescent="0.25">
      <c r="A236" s="32">
        <v>45779</v>
      </c>
      <c r="B236" s="31" t="s">
        <v>99</v>
      </c>
      <c r="C236" s="31" t="s">
        <v>8</v>
      </c>
      <c r="D236" s="31">
        <v>78</v>
      </c>
      <c r="E236" s="31">
        <v>192</v>
      </c>
      <c r="F236" s="31">
        <v>14976</v>
      </c>
      <c r="G236" s="31">
        <v>17672</v>
      </c>
      <c r="H236" s="31">
        <v>2695.68</v>
      </c>
      <c r="I236" s="31" t="s">
        <v>8</v>
      </c>
    </row>
    <row r="237" spans="1:9" x14ac:dyDescent="0.25">
      <c r="A237" s="32">
        <v>45779</v>
      </c>
      <c r="B237" s="31" t="s">
        <v>99</v>
      </c>
      <c r="C237" s="31" t="s">
        <v>8</v>
      </c>
      <c r="D237" s="31">
        <v>5</v>
      </c>
      <c r="E237" s="31">
        <v>71</v>
      </c>
      <c r="F237" s="31">
        <v>355</v>
      </c>
      <c r="G237" s="31">
        <v>419</v>
      </c>
      <c r="H237" s="31">
        <v>63.9</v>
      </c>
      <c r="I237" s="31" t="s">
        <v>8</v>
      </c>
    </row>
    <row r="238" spans="1:9" x14ac:dyDescent="0.25">
      <c r="A238" s="32">
        <v>45779</v>
      </c>
      <c r="B238" s="31" t="s">
        <v>74</v>
      </c>
      <c r="C238" s="31" t="s">
        <v>8</v>
      </c>
      <c r="D238" s="31">
        <v>105</v>
      </c>
      <c r="E238" s="31">
        <v>83</v>
      </c>
      <c r="F238" s="31">
        <v>8715</v>
      </c>
      <c r="G238" s="31">
        <v>10284</v>
      </c>
      <c r="H238" s="31">
        <v>1568.7</v>
      </c>
      <c r="I238" s="31" t="s">
        <v>8</v>
      </c>
    </row>
    <row r="239" spans="1:9" x14ac:dyDescent="0.25">
      <c r="A239" s="32">
        <v>45780</v>
      </c>
      <c r="B239" s="31" t="s">
        <v>98</v>
      </c>
      <c r="C239" s="31" t="s">
        <v>8</v>
      </c>
      <c r="D239" s="31">
        <v>5</v>
      </c>
      <c r="E239" s="31">
        <v>180</v>
      </c>
      <c r="F239" s="31">
        <v>900</v>
      </c>
      <c r="G239" s="31">
        <v>1062</v>
      </c>
      <c r="H239" s="31">
        <v>162</v>
      </c>
      <c r="I239" s="31" t="s">
        <v>8</v>
      </c>
    </row>
    <row r="240" spans="1:9" x14ac:dyDescent="0.25">
      <c r="A240" s="32">
        <v>45780</v>
      </c>
      <c r="B240" s="31" t="s">
        <v>51</v>
      </c>
      <c r="C240" s="31" t="s">
        <v>8</v>
      </c>
      <c r="D240" s="31">
        <v>302</v>
      </c>
      <c r="E240" s="31">
        <v>85.33</v>
      </c>
      <c r="F240" s="31">
        <v>25770</v>
      </c>
      <c r="G240" s="31">
        <v>30409</v>
      </c>
      <c r="H240" s="31">
        <v>4638.5999999999995</v>
      </c>
      <c r="I240" s="31" t="s">
        <v>8</v>
      </c>
    </row>
    <row r="241" spans="1:9" x14ac:dyDescent="0.25">
      <c r="A241" s="32">
        <v>45780</v>
      </c>
      <c r="B241" s="31" t="s">
        <v>94</v>
      </c>
      <c r="C241" s="31" t="s">
        <v>8</v>
      </c>
      <c r="D241" s="31">
        <v>26</v>
      </c>
      <c r="E241" s="31">
        <v>105</v>
      </c>
      <c r="F241" s="31">
        <v>2730</v>
      </c>
      <c r="G241" s="31">
        <v>3221</v>
      </c>
      <c r="H241" s="31">
        <v>491.4</v>
      </c>
      <c r="I241" s="31" t="s">
        <v>8</v>
      </c>
    </row>
    <row r="242" spans="1:9" x14ac:dyDescent="0.25">
      <c r="A242" s="32">
        <v>45780</v>
      </c>
      <c r="B242" s="31" t="s">
        <v>42</v>
      </c>
      <c r="C242" s="31" t="s">
        <v>8</v>
      </c>
      <c r="D242" s="31">
        <v>78</v>
      </c>
      <c r="E242" s="31">
        <v>150</v>
      </c>
      <c r="F242" s="31">
        <v>11700</v>
      </c>
      <c r="G242" s="31">
        <v>13806</v>
      </c>
      <c r="H242" s="31">
        <v>2106</v>
      </c>
      <c r="I242" s="31" t="s">
        <v>8</v>
      </c>
    </row>
    <row r="243" spans="1:9" x14ac:dyDescent="0.25">
      <c r="A243" s="32">
        <v>45780</v>
      </c>
      <c r="B243" s="31" t="s">
        <v>61</v>
      </c>
      <c r="C243" s="31" t="s">
        <v>8</v>
      </c>
      <c r="D243" s="31">
        <v>100</v>
      </c>
      <c r="E243" s="31">
        <v>72</v>
      </c>
      <c r="F243" s="31">
        <v>7200</v>
      </c>
      <c r="G243" s="31">
        <v>8496</v>
      </c>
      <c r="H243" s="31">
        <v>1296</v>
      </c>
      <c r="I243" s="31" t="s">
        <v>8</v>
      </c>
    </row>
    <row r="244" spans="1:9" x14ac:dyDescent="0.25">
      <c r="A244" s="32">
        <v>45780</v>
      </c>
      <c r="B244" s="31" t="s">
        <v>98</v>
      </c>
      <c r="C244" s="31" t="s">
        <v>8</v>
      </c>
      <c r="D244" s="31">
        <v>50</v>
      </c>
      <c r="E244" s="31">
        <v>64</v>
      </c>
      <c r="F244" s="31">
        <v>3200</v>
      </c>
      <c r="G244" s="31">
        <v>3776</v>
      </c>
      <c r="H244" s="31">
        <v>576</v>
      </c>
      <c r="I244" s="31" t="s">
        <v>8</v>
      </c>
    </row>
    <row r="245" spans="1:9" x14ac:dyDescent="0.25">
      <c r="A245" s="32">
        <v>45781</v>
      </c>
      <c r="B245" s="31" t="s">
        <v>98</v>
      </c>
      <c r="C245" s="31" t="s">
        <v>8</v>
      </c>
      <c r="D245" s="31">
        <v>5250</v>
      </c>
      <c r="E245" s="31">
        <v>61</v>
      </c>
      <c r="F245" s="31">
        <v>320250</v>
      </c>
      <c r="G245" s="31">
        <v>377895</v>
      </c>
      <c r="H245" s="31">
        <v>57645</v>
      </c>
      <c r="I245" s="31" t="s">
        <v>8</v>
      </c>
    </row>
    <row r="246" spans="1:9" x14ac:dyDescent="0.25">
      <c r="A246" s="32">
        <v>45781</v>
      </c>
      <c r="B246" s="31" t="s">
        <v>98</v>
      </c>
      <c r="C246" s="31" t="s">
        <v>8</v>
      </c>
      <c r="D246" s="31">
        <v>52</v>
      </c>
      <c r="E246" s="31">
        <v>107</v>
      </c>
      <c r="F246" s="31">
        <v>5564</v>
      </c>
      <c r="G246" s="31">
        <v>6566</v>
      </c>
      <c r="H246" s="31">
        <v>1001.52</v>
      </c>
      <c r="I246" s="31" t="s">
        <v>8</v>
      </c>
    </row>
    <row r="247" spans="1:9" x14ac:dyDescent="0.25">
      <c r="A247" s="32">
        <v>45781</v>
      </c>
      <c r="B247" s="31" t="s">
        <v>15</v>
      </c>
      <c r="C247" s="31" t="s">
        <v>8</v>
      </c>
      <c r="D247" s="31">
        <v>26</v>
      </c>
      <c r="E247" s="31">
        <v>115</v>
      </c>
      <c r="F247" s="31">
        <v>11560</v>
      </c>
      <c r="G247" s="31">
        <v>13641</v>
      </c>
      <c r="H247" s="31">
        <v>2080.7999999999997</v>
      </c>
      <c r="I247" s="31" t="s">
        <v>8</v>
      </c>
    </row>
    <row r="248" spans="1:9" x14ac:dyDescent="0.25">
      <c r="A248" s="32">
        <v>45781</v>
      </c>
      <c r="B248" s="31" t="s">
        <v>14</v>
      </c>
      <c r="C248" s="31" t="s">
        <v>8</v>
      </c>
      <c r="D248" s="31">
        <v>26</v>
      </c>
      <c r="E248" s="31">
        <v>108</v>
      </c>
      <c r="F248" s="31">
        <v>2808</v>
      </c>
      <c r="G248" s="31">
        <v>3313</v>
      </c>
      <c r="H248" s="31">
        <v>505.44</v>
      </c>
      <c r="I248" s="31" t="s">
        <v>8</v>
      </c>
    </row>
    <row r="249" spans="1:9" x14ac:dyDescent="0.25">
      <c r="A249" s="32">
        <v>45781</v>
      </c>
      <c r="B249" s="31" t="s">
        <v>96</v>
      </c>
      <c r="C249" s="31" t="s">
        <v>8</v>
      </c>
      <c r="D249" s="31">
        <v>70</v>
      </c>
      <c r="E249" s="31">
        <v>62</v>
      </c>
      <c r="F249" s="31">
        <v>4340</v>
      </c>
      <c r="G249" s="31">
        <v>5121</v>
      </c>
      <c r="H249" s="31">
        <v>781.19999999999993</v>
      </c>
      <c r="I249" s="31" t="s">
        <v>8</v>
      </c>
    </row>
    <row r="250" spans="1:9" x14ac:dyDescent="0.25">
      <c r="A250" s="32">
        <v>45782</v>
      </c>
      <c r="B250" s="31" t="s">
        <v>15</v>
      </c>
      <c r="C250" s="31" t="s">
        <v>8</v>
      </c>
      <c r="D250" s="31">
        <v>10</v>
      </c>
      <c r="E250" s="31">
        <v>200</v>
      </c>
      <c r="F250" s="31">
        <v>2000</v>
      </c>
      <c r="G250" s="31">
        <v>2360</v>
      </c>
      <c r="H250" s="31">
        <v>360</v>
      </c>
      <c r="I250" s="31" t="s">
        <v>8</v>
      </c>
    </row>
    <row r="251" spans="1:9" x14ac:dyDescent="0.25">
      <c r="A251" s="32">
        <v>45782</v>
      </c>
      <c r="B251" s="31" t="s">
        <v>95</v>
      </c>
      <c r="C251" s="31" t="s">
        <v>8</v>
      </c>
      <c r="D251" s="31">
        <v>220</v>
      </c>
      <c r="E251" s="31">
        <v>55</v>
      </c>
      <c r="F251" s="31">
        <v>12100</v>
      </c>
      <c r="G251" s="31">
        <v>14278</v>
      </c>
      <c r="H251" s="31">
        <v>2178</v>
      </c>
      <c r="I251" s="31" t="s">
        <v>8</v>
      </c>
    </row>
    <row r="252" spans="1:9" x14ac:dyDescent="0.25">
      <c r="A252" s="32">
        <v>45782</v>
      </c>
      <c r="B252" s="31" t="s">
        <v>96</v>
      </c>
      <c r="C252" s="31" t="s">
        <v>8</v>
      </c>
      <c r="D252" s="31">
        <v>52</v>
      </c>
      <c r="E252" s="31">
        <v>125</v>
      </c>
      <c r="F252" s="31">
        <v>6500</v>
      </c>
      <c r="G252" s="31">
        <v>7670</v>
      </c>
      <c r="H252" s="31">
        <v>1170</v>
      </c>
      <c r="I252" s="31" t="s">
        <v>8</v>
      </c>
    </row>
    <row r="253" spans="1:9" x14ac:dyDescent="0.25">
      <c r="A253" s="32">
        <v>45782</v>
      </c>
      <c r="B253" s="31" t="s">
        <v>28</v>
      </c>
      <c r="C253" s="31" t="s">
        <v>8</v>
      </c>
      <c r="D253" s="31">
        <v>210</v>
      </c>
      <c r="E253" s="31">
        <v>110</v>
      </c>
      <c r="F253" s="31">
        <v>23100</v>
      </c>
      <c r="G253" s="31">
        <v>27258</v>
      </c>
      <c r="H253" s="31">
        <v>4158</v>
      </c>
      <c r="I253" s="31" t="s">
        <v>8</v>
      </c>
    </row>
    <row r="254" spans="1:9" x14ac:dyDescent="0.25">
      <c r="A254" s="32">
        <v>45782</v>
      </c>
      <c r="B254" s="31" t="s">
        <v>64</v>
      </c>
      <c r="C254" s="31" t="s">
        <v>8</v>
      </c>
      <c r="D254" s="31">
        <v>156</v>
      </c>
      <c r="E254" s="31">
        <v>147.5</v>
      </c>
      <c r="F254" s="31">
        <v>23010</v>
      </c>
      <c r="G254" s="31">
        <v>27152</v>
      </c>
      <c r="H254" s="31">
        <v>4141.8</v>
      </c>
      <c r="I254" s="31" t="s">
        <v>8</v>
      </c>
    </row>
    <row r="255" spans="1:9" x14ac:dyDescent="0.25">
      <c r="A255" s="32">
        <v>45782</v>
      </c>
      <c r="B255" s="31" t="s">
        <v>94</v>
      </c>
      <c r="C255" s="31" t="s">
        <v>8</v>
      </c>
      <c r="D255" s="31">
        <v>148</v>
      </c>
      <c r="E255" s="31">
        <v>168.99</v>
      </c>
      <c r="F255" s="31">
        <v>25010</v>
      </c>
      <c r="G255" s="31">
        <v>29512</v>
      </c>
      <c r="H255" s="31">
        <v>4501.8</v>
      </c>
      <c r="I255" s="31" t="s">
        <v>8</v>
      </c>
    </row>
    <row r="256" spans="1:9" x14ac:dyDescent="0.25">
      <c r="A256" s="32">
        <v>45782</v>
      </c>
      <c r="B256" s="31" t="s">
        <v>95</v>
      </c>
      <c r="C256" s="31" t="s">
        <v>8</v>
      </c>
      <c r="D256" s="31">
        <v>35</v>
      </c>
      <c r="E256" s="31">
        <v>76</v>
      </c>
      <c r="F256" s="31">
        <v>2660</v>
      </c>
      <c r="G256" s="31">
        <v>3139</v>
      </c>
      <c r="H256" s="31">
        <v>478.79999999999995</v>
      </c>
      <c r="I256" s="31" t="s">
        <v>8</v>
      </c>
    </row>
    <row r="257" spans="1:9" x14ac:dyDescent="0.25">
      <c r="A257" s="32">
        <v>45783</v>
      </c>
      <c r="B257" s="31" t="s">
        <v>94</v>
      </c>
      <c r="C257" s="31" t="s">
        <v>8</v>
      </c>
      <c r="D257" s="31">
        <v>50</v>
      </c>
      <c r="E257" s="31">
        <v>93</v>
      </c>
      <c r="F257" s="31">
        <v>4650</v>
      </c>
      <c r="G257" s="31">
        <v>5487</v>
      </c>
      <c r="H257" s="31">
        <v>837</v>
      </c>
      <c r="I257" s="31" t="s">
        <v>8</v>
      </c>
    </row>
    <row r="258" spans="1:9" x14ac:dyDescent="0.25">
      <c r="A258" s="32">
        <v>45783</v>
      </c>
      <c r="B258" s="31" t="s">
        <v>93</v>
      </c>
      <c r="C258" s="31" t="s">
        <v>8</v>
      </c>
      <c r="D258" s="31">
        <v>104</v>
      </c>
      <c r="E258" s="31">
        <v>115</v>
      </c>
      <c r="F258" s="31">
        <v>11960</v>
      </c>
      <c r="G258" s="31">
        <v>14113</v>
      </c>
      <c r="H258" s="31">
        <v>2152.7999999999997</v>
      </c>
      <c r="I258" s="31" t="s">
        <v>8</v>
      </c>
    </row>
    <row r="259" spans="1:9" x14ac:dyDescent="0.25">
      <c r="A259" s="32">
        <v>45783</v>
      </c>
      <c r="B259" s="31" t="s">
        <v>98</v>
      </c>
      <c r="C259" s="31" t="s">
        <v>8</v>
      </c>
      <c r="D259" s="31">
        <v>26</v>
      </c>
      <c r="E259" s="31">
        <v>125</v>
      </c>
      <c r="F259" s="31">
        <v>3250</v>
      </c>
      <c r="G259" s="31">
        <v>3835</v>
      </c>
      <c r="H259" s="31">
        <v>585</v>
      </c>
      <c r="I259" s="31" t="s">
        <v>8</v>
      </c>
    </row>
    <row r="260" spans="1:9" x14ac:dyDescent="0.25">
      <c r="A260" s="32">
        <v>45783</v>
      </c>
      <c r="B260" s="31" t="s">
        <v>11</v>
      </c>
      <c r="C260" s="31" t="s">
        <v>8</v>
      </c>
      <c r="D260" s="31">
        <v>70</v>
      </c>
      <c r="E260" s="31">
        <v>70</v>
      </c>
      <c r="F260" s="31">
        <v>4900</v>
      </c>
      <c r="G260" s="31">
        <v>5782</v>
      </c>
      <c r="H260" s="31">
        <v>882</v>
      </c>
      <c r="I260" s="31" t="s">
        <v>8</v>
      </c>
    </row>
    <row r="261" spans="1:9" x14ac:dyDescent="0.25">
      <c r="A261" s="32">
        <v>45783</v>
      </c>
      <c r="B261" s="31" t="s">
        <v>98</v>
      </c>
      <c r="C261" s="31" t="s">
        <v>8</v>
      </c>
      <c r="D261" s="31">
        <v>25</v>
      </c>
      <c r="E261" s="31">
        <v>210</v>
      </c>
      <c r="F261" s="31">
        <v>5250</v>
      </c>
      <c r="G261" s="31">
        <v>6195</v>
      </c>
      <c r="H261" s="31">
        <v>945</v>
      </c>
      <c r="I261" s="31" t="s">
        <v>8</v>
      </c>
    </row>
    <row r="262" spans="1:9" x14ac:dyDescent="0.25">
      <c r="A262" s="32">
        <v>45783</v>
      </c>
      <c r="B262" s="31" t="s">
        <v>98</v>
      </c>
      <c r="C262" s="31" t="s">
        <v>8</v>
      </c>
      <c r="D262" s="31">
        <v>210</v>
      </c>
      <c r="E262" s="31">
        <v>100</v>
      </c>
      <c r="F262" s="31">
        <v>21000</v>
      </c>
      <c r="G262" s="31">
        <v>24780</v>
      </c>
      <c r="H262" s="31">
        <v>3780</v>
      </c>
      <c r="I262" s="31" t="s">
        <v>8</v>
      </c>
    </row>
    <row r="263" spans="1:9" x14ac:dyDescent="0.25">
      <c r="A263" s="32">
        <v>45783</v>
      </c>
      <c r="B263" s="31" t="s">
        <v>52</v>
      </c>
      <c r="C263" s="31" t="s">
        <v>8</v>
      </c>
      <c r="D263" s="31">
        <v>230</v>
      </c>
      <c r="E263" s="31">
        <v>83.04</v>
      </c>
      <c r="F263" s="31">
        <v>19100</v>
      </c>
      <c r="G263" s="31">
        <v>22538</v>
      </c>
      <c r="H263" s="31">
        <v>3438</v>
      </c>
      <c r="I263" s="31" t="s">
        <v>8</v>
      </c>
    </row>
    <row r="264" spans="1:9" x14ac:dyDescent="0.25">
      <c r="A264" s="32">
        <v>45783</v>
      </c>
      <c r="B264" s="31" t="s">
        <v>95</v>
      </c>
      <c r="C264" s="31" t="s">
        <v>8</v>
      </c>
      <c r="D264" s="31">
        <v>35</v>
      </c>
      <c r="E264" s="31">
        <v>170</v>
      </c>
      <c r="F264" s="31">
        <v>5950</v>
      </c>
      <c r="G264" s="31">
        <v>7021</v>
      </c>
      <c r="H264" s="31">
        <v>1071</v>
      </c>
      <c r="I264" s="31" t="s">
        <v>8</v>
      </c>
    </row>
    <row r="265" spans="1:9" x14ac:dyDescent="0.25">
      <c r="A265" s="32">
        <v>45783</v>
      </c>
      <c r="B265" s="31" t="s">
        <v>94</v>
      </c>
      <c r="C265" s="31" t="s">
        <v>8</v>
      </c>
      <c r="D265" s="31">
        <v>26</v>
      </c>
      <c r="E265" s="31">
        <v>115</v>
      </c>
      <c r="F265" s="31">
        <v>2050</v>
      </c>
      <c r="G265" s="31">
        <v>2380</v>
      </c>
      <c r="H265" s="31">
        <v>369</v>
      </c>
      <c r="I265" s="31" t="s">
        <v>8</v>
      </c>
    </row>
    <row r="266" spans="1:9" x14ac:dyDescent="0.25">
      <c r="A266" s="32">
        <v>45784</v>
      </c>
      <c r="B266" s="31" t="s">
        <v>98</v>
      </c>
      <c r="C266" s="31" t="s">
        <v>8</v>
      </c>
      <c r="D266" s="31">
        <v>26</v>
      </c>
      <c r="E266" s="31">
        <v>115</v>
      </c>
      <c r="F266" s="31">
        <v>2050</v>
      </c>
      <c r="G266" s="31">
        <v>2419</v>
      </c>
      <c r="H266" s="31">
        <v>369</v>
      </c>
      <c r="I266" s="31" t="s">
        <v>8</v>
      </c>
    </row>
    <row r="267" spans="1:9" x14ac:dyDescent="0.25">
      <c r="A267" s="32">
        <v>45784</v>
      </c>
      <c r="B267" s="31" t="s">
        <v>18</v>
      </c>
      <c r="C267" s="31" t="s">
        <v>8</v>
      </c>
      <c r="D267" s="31">
        <v>70</v>
      </c>
      <c r="E267" s="31">
        <v>100</v>
      </c>
      <c r="F267" s="31">
        <v>7000</v>
      </c>
      <c r="G267" s="31">
        <v>8260</v>
      </c>
      <c r="H267" s="31">
        <v>1260</v>
      </c>
      <c r="I267" s="31" t="s">
        <v>8</v>
      </c>
    </row>
    <row r="268" spans="1:9" x14ac:dyDescent="0.25">
      <c r="A268" s="32">
        <v>45784</v>
      </c>
      <c r="B268" s="31" t="s">
        <v>92</v>
      </c>
      <c r="C268" s="31" t="s">
        <v>8</v>
      </c>
      <c r="D268" s="31">
        <v>52</v>
      </c>
      <c r="E268" s="31">
        <v>130</v>
      </c>
      <c r="F268" s="31">
        <v>6760</v>
      </c>
      <c r="G268" s="31">
        <v>7977</v>
      </c>
      <c r="H268" s="31">
        <v>1216.8</v>
      </c>
      <c r="I268" s="31" t="s">
        <v>8</v>
      </c>
    </row>
    <row r="269" spans="1:9" x14ac:dyDescent="0.25">
      <c r="A269" s="32">
        <v>45784</v>
      </c>
      <c r="B269" s="31" t="s">
        <v>95</v>
      </c>
      <c r="C269" s="31" t="s">
        <v>8</v>
      </c>
      <c r="D269" s="31">
        <v>220</v>
      </c>
      <c r="E269" s="31">
        <v>55</v>
      </c>
      <c r="F269" s="31">
        <v>12100</v>
      </c>
      <c r="G269" s="31">
        <v>14278</v>
      </c>
      <c r="H269" s="31">
        <v>2178</v>
      </c>
      <c r="I269" s="31" t="s">
        <v>8</v>
      </c>
    </row>
    <row r="270" spans="1:9" x14ac:dyDescent="0.25">
      <c r="A270" s="32">
        <v>45784</v>
      </c>
      <c r="B270" s="31" t="s">
        <v>98</v>
      </c>
      <c r="C270" s="31" t="s">
        <v>8</v>
      </c>
      <c r="D270" s="31">
        <v>26</v>
      </c>
      <c r="E270" s="31">
        <v>135</v>
      </c>
      <c r="F270" s="31">
        <v>3510</v>
      </c>
      <c r="G270" s="31">
        <v>4142</v>
      </c>
      <c r="H270" s="31">
        <v>631.79999999999995</v>
      </c>
      <c r="I270" s="31" t="s">
        <v>8</v>
      </c>
    </row>
    <row r="271" spans="1:9" x14ac:dyDescent="0.25">
      <c r="A271" s="32">
        <v>45784</v>
      </c>
      <c r="B271" s="31" t="s">
        <v>98</v>
      </c>
      <c r="C271" s="31" t="s">
        <v>8</v>
      </c>
      <c r="D271" s="31">
        <v>26</v>
      </c>
      <c r="E271" s="31">
        <v>115</v>
      </c>
      <c r="F271" s="31">
        <v>52730</v>
      </c>
      <c r="G271" s="31">
        <v>62221</v>
      </c>
      <c r="H271" s="31">
        <v>9491.4</v>
      </c>
      <c r="I271" s="31" t="s">
        <v>8</v>
      </c>
    </row>
    <row r="272" spans="1:9" x14ac:dyDescent="0.25">
      <c r="A272" s="32">
        <v>45784</v>
      </c>
      <c r="B272" s="31" t="s">
        <v>98</v>
      </c>
      <c r="C272" s="31" t="s">
        <v>8</v>
      </c>
      <c r="D272" s="31">
        <v>5</v>
      </c>
      <c r="E272" s="31">
        <v>50</v>
      </c>
      <c r="F272" s="31">
        <v>250</v>
      </c>
      <c r="G272" s="31">
        <v>263</v>
      </c>
      <c r="H272" s="31">
        <v>45</v>
      </c>
      <c r="I272" s="31" t="s">
        <v>8</v>
      </c>
    </row>
    <row r="273" spans="1:9" x14ac:dyDescent="0.25">
      <c r="A273" s="32">
        <v>45784</v>
      </c>
      <c r="B273" s="31" t="s">
        <v>98</v>
      </c>
      <c r="C273" s="31" t="s">
        <v>8</v>
      </c>
      <c r="D273" s="31">
        <v>35</v>
      </c>
      <c r="E273" s="31">
        <v>210</v>
      </c>
      <c r="F273" s="31">
        <v>7350</v>
      </c>
      <c r="G273" s="31">
        <v>8673</v>
      </c>
      <c r="H273" s="31">
        <v>1323</v>
      </c>
      <c r="I273" s="31" t="s">
        <v>8</v>
      </c>
    </row>
    <row r="274" spans="1:9" x14ac:dyDescent="0.25">
      <c r="A274" s="32">
        <v>45786</v>
      </c>
      <c r="B274" s="31" t="s">
        <v>42</v>
      </c>
      <c r="C274" s="31" t="s">
        <v>8</v>
      </c>
      <c r="D274" s="31">
        <v>297</v>
      </c>
      <c r="E274" s="31">
        <v>101.09</v>
      </c>
      <c r="F274" s="31">
        <v>30025</v>
      </c>
      <c r="G274" s="31">
        <v>35430</v>
      </c>
      <c r="H274" s="31">
        <v>5404.5</v>
      </c>
      <c r="I274" s="31" t="s">
        <v>8</v>
      </c>
    </row>
    <row r="275" spans="1:9" x14ac:dyDescent="0.25">
      <c r="A275" s="32">
        <v>45786</v>
      </c>
      <c r="B275" s="31" t="s">
        <v>15</v>
      </c>
      <c r="C275" s="31" t="s">
        <v>8</v>
      </c>
      <c r="D275" s="31">
        <v>220</v>
      </c>
      <c r="E275" s="31">
        <v>104.55</v>
      </c>
      <c r="F275" s="31">
        <v>23000</v>
      </c>
      <c r="G275" s="31">
        <v>27140</v>
      </c>
      <c r="H275" s="31">
        <v>4140</v>
      </c>
      <c r="I275" s="31" t="s">
        <v>8</v>
      </c>
    </row>
    <row r="276" spans="1:9" x14ac:dyDescent="0.25">
      <c r="A276" s="32">
        <v>45786</v>
      </c>
      <c r="B276" s="31" t="s">
        <v>98</v>
      </c>
      <c r="C276" s="31" t="s">
        <v>8</v>
      </c>
      <c r="D276" s="31">
        <v>20</v>
      </c>
      <c r="E276" s="31">
        <v>90</v>
      </c>
      <c r="F276" s="31">
        <v>1800</v>
      </c>
      <c r="G276" s="31">
        <v>2124</v>
      </c>
      <c r="H276" s="31">
        <v>324</v>
      </c>
      <c r="I276" s="31" t="s">
        <v>8</v>
      </c>
    </row>
    <row r="277" spans="1:9" x14ac:dyDescent="0.25">
      <c r="A277" s="32">
        <v>45786</v>
      </c>
      <c r="B277" s="31" t="s">
        <v>96</v>
      </c>
      <c r="C277" s="31" t="s">
        <v>8</v>
      </c>
      <c r="D277" s="31">
        <v>156</v>
      </c>
      <c r="E277" s="31">
        <v>85</v>
      </c>
      <c r="F277" s="31">
        <v>13260</v>
      </c>
      <c r="G277" s="31">
        <v>15647</v>
      </c>
      <c r="H277" s="31">
        <v>2386.7999999999997</v>
      </c>
      <c r="I277" s="31" t="s">
        <v>8</v>
      </c>
    </row>
    <row r="278" spans="1:9" x14ac:dyDescent="0.25">
      <c r="A278" s="32">
        <v>45786</v>
      </c>
      <c r="B278" s="31" t="s">
        <v>98</v>
      </c>
      <c r="C278" s="31" t="s">
        <v>8</v>
      </c>
      <c r="D278" s="31">
        <v>15</v>
      </c>
      <c r="E278" s="31">
        <v>115</v>
      </c>
      <c r="F278" s="31">
        <v>1725</v>
      </c>
      <c r="G278" s="31">
        <v>2036</v>
      </c>
      <c r="H278" s="31">
        <v>310.5</v>
      </c>
      <c r="I278" s="31" t="s">
        <v>8</v>
      </c>
    </row>
    <row r="279" spans="1:9" x14ac:dyDescent="0.25">
      <c r="A279" s="32">
        <v>45786</v>
      </c>
      <c r="B279" s="31" t="s">
        <v>50</v>
      </c>
      <c r="C279" s="31" t="s">
        <v>8</v>
      </c>
      <c r="D279" s="31">
        <v>31</v>
      </c>
      <c r="E279" s="31">
        <v>115</v>
      </c>
      <c r="F279" s="31">
        <v>3565</v>
      </c>
      <c r="G279" s="31">
        <v>4207</v>
      </c>
      <c r="H279" s="31">
        <v>641.69999999999993</v>
      </c>
      <c r="I279" s="31" t="s">
        <v>8</v>
      </c>
    </row>
    <row r="280" spans="1:9" x14ac:dyDescent="0.25">
      <c r="A280" s="32">
        <v>45786</v>
      </c>
      <c r="B280" s="31" t="s">
        <v>94</v>
      </c>
      <c r="C280" s="31" t="s">
        <v>8</v>
      </c>
      <c r="D280" s="31">
        <v>210</v>
      </c>
      <c r="E280" s="31">
        <v>86</v>
      </c>
      <c r="F280" s="31">
        <v>18060</v>
      </c>
      <c r="G280" s="31">
        <v>21311</v>
      </c>
      <c r="H280" s="31">
        <v>3250.7999999999997</v>
      </c>
      <c r="I280" s="31" t="s">
        <v>8</v>
      </c>
    </row>
    <row r="281" spans="1:9" x14ac:dyDescent="0.25">
      <c r="A281" s="32">
        <v>45786</v>
      </c>
      <c r="B281" s="31" t="s">
        <v>29</v>
      </c>
      <c r="C281" s="31" t="s">
        <v>8</v>
      </c>
      <c r="D281" s="31">
        <v>52</v>
      </c>
      <c r="E281" s="31">
        <v>110</v>
      </c>
      <c r="F281" s="31">
        <v>5720</v>
      </c>
      <c r="G281" s="31">
        <v>6750</v>
      </c>
      <c r="H281" s="31">
        <v>1029.5999999999999</v>
      </c>
      <c r="I281" s="31" t="s">
        <v>8</v>
      </c>
    </row>
    <row r="282" spans="1:9" x14ac:dyDescent="0.25">
      <c r="A282" s="32">
        <v>45786</v>
      </c>
      <c r="B282" s="31" t="s">
        <v>97</v>
      </c>
      <c r="C282" s="31" t="s">
        <v>8</v>
      </c>
      <c r="D282" s="31">
        <v>1025</v>
      </c>
      <c r="E282" s="31">
        <v>105</v>
      </c>
      <c r="F282" s="31">
        <v>107625</v>
      </c>
      <c r="G282" s="31">
        <v>126998</v>
      </c>
      <c r="H282" s="31">
        <v>19372.5</v>
      </c>
      <c r="I282" s="31" t="s">
        <v>8</v>
      </c>
    </row>
    <row r="283" spans="1:9" x14ac:dyDescent="0.25">
      <c r="A283" s="32">
        <v>45786</v>
      </c>
      <c r="B283" s="31" t="s">
        <v>69</v>
      </c>
      <c r="C283" s="31" t="s">
        <v>8</v>
      </c>
      <c r="D283" s="31">
        <v>26</v>
      </c>
      <c r="E283" s="31">
        <v>160</v>
      </c>
      <c r="F283" s="31">
        <v>4160</v>
      </c>
      <c r="G283" s="31">
        <v>4909</v>
      </c>
      <c r="H283" s="31">
        <v>748.8</v>
      </c>
      <c r="I283" s="31" t="s">
        <v>8</v>
      </c>
    </row>
    <row r="284" spans="1:9" x14ac:dyDescent="0.25">
      <c r="A284" s="32">
        <v>45786</v>
      </c>
      <c r="B284" s="31" t="s">
        <v>98</v>
      </c>
      <c r="C284" s="31" t="s">
        <v>8</v>
      </c>
      <c r="D284" s="31">
        <v>2</v>
      </c>
      <c r="E284" s="31">
        <v>200</v>
      </c>
      <c r="F284" s="31">
        <v>400</v>
      </c>
      <c r="G284" s="31">
        <v>472</v>
      </c>
      <c r="H284" s="31">
        <v>72</v>
      </c>
      <c r="I284" s="31" t="s">
        <v>8</v>
      </c>
    </row>
    <row r="285" spans="1:9" x14ac:dyDescent="0.25">
      <c r="A285" s="32">
        <v>45786</v>
      </c>
      <c r="B285" s="31" t="s">
        <v>98</v>
      </c>
      <c r="C285" s="31" t="s">
        <v>8</v>
      </c>
      <c r="D285" s="31">
        <v>123</v>
      </c>
      <c r="E285" s="31">
        <v>113.25</v>
      </c>
      <c r="F285" s="31">
        <v>13930</v>
      </c>
      <c r="G285" s="31">
        <v>16437</v>
      </c>
      <c r="H285" s="31">
        <v>2507.4</v>
      </c>
      <c r="I285" s="31" t="s">
        <v>8</v>
      </c>
    </row>
    <row r="286" spans="1:9" x14ac:dyDescent="0.25">
      <c r="A286" s="32">
        <v>45787</v>
      </c>
      <c r="B286" s="31" t="s">
        <v>10</v>
      </c>
      <c r="C286" s="31" t="s">
        <v>8</v>
      </c>
      <c r="D286" s="31">
        <v>52</v>
      </c>
      <c r="E286" s="31">
        <v>127.5</v>
      </c>
      <c r="F286" s="31">
        <v>6630</v>
      </c>
      <c r="G286" s="31">
        <v>7823</v>
      </c>
      <c r="H286" s="31">
        <v>1193.3999999999999</v>
      </c>
      <c r="I286" s="31" t="s">
        <v>8</v>
      </c>
    </row>
    <row r="287" spans="1:9" x14ac:dyDescent="0.25">
      <c r="A287" s="32">
        <v>45787</v>
      </c>
      <c r="B287" s="31" t="s">
        <v>98</v>
      </c>
      <c r="C287" s="31" t="s">
        <v>8</v>
      </c>
      <c r="D287" s="31">
        <v>78</v>
      </c>
      <c r="E287" s="31">
        <v>134.66999999999999</v>
      </c>
      <c r="F287" s="31">
        <v>10504</v>
      </c>
      <c r="G287" s="31">
        <v>12395</v>
      </c>
      <c r="H287" s="31">
        <v>1890.72</v>
      </c>
      <c r="I287" s="31" t="s">
        <v>8</v>
      </c>
    </row>
    <row r="288" spans="1:9" x14ac:dyDescent="0.25">
      <c r="A288" s="32">
        <v>45787</v>
      </c>
      <c r="B288" s="31" t="s">
        <v>82</v>
      </c>
      <c r="C288" s="31" t="s">
        <v>8</v>
      </c>
      <c r="D288" s="31">
        <v>150</v>
      </c>
      <c r="E288" s="31">
        <v>195</v>
      </c>
      <c r="F288" s="31">
        <v>29250</v>
      </c>
      <c r="G288" s="31">
        <v>34515</v>
      </c>
      <c r="H288" s="31">
        <v>5265</v>
      </c>
      <c r="I288" s="31" t="s">
        <v>8</v>
      </c>
    </row>
    <row r="289" spans="1:9" x14ac:dyDescent="0.25">
      <c r="A289" s="32">
        <v>45787</v>
      </c>
      <c r="B289" s="31" t="s">
        <v>96</v>
      </c>
      <c r="C289" s="31" t="s">
        <v>8</v>
      </c>
      <c r="D289" s="31">
        <v>5</v>
      </c>
      <c r="E289" s="31">
        <v>70</v>
      </c>
      <c r="F289" s="31">
        <v>350</v>
      </c>
      <c r="G289" s="31">
        <v>413</v>
      </c>
      <c r="H289" s="31">
        <v>63</v>
      </c>
      <c r="I289" s="31" t="s">
        <v>8</v>
      </c>
    </row>
    <row r="290" spans="1:9" x14ac:dyDescent="0.25">
      <c r="A290" s="32">
        <v>45787</v>
      </c>
      <c r="B290" s="31" t="s">
        <v>98</v>
      </c>
      <c r="C290" s="31" t="s">
        <v>8</v>
      </c>
      <c r="D290" s="31">
        <v>10</v>
      </c>
      <c r="E290" s="31">
        <v>115</v>
      </c>
      <c r="F290" s="31">
        <v>1150</v>
      </c>
      <c r="G290" s="31">
        <v>1357</v>
      </c>
      <c r="H290" s="31">
        <v>207</v>
      </c>
      <c r="I290" s="31" t="s">
        <v>8</v>
      </c>
    </row>
    <row r="291" spans="1:9" x14ac:dyDescent="0.25">
      <c r="A291" s="32">
        <v>45787</v>
      </c>
      <c r="B291" s="31" t="s">
        <v>16</v>
      </c>
      <c r="C291" s="31" t="s">
        <v>8</v>
      </c>
      <c r="D291" s="31">
        <v>40</v>
      </c>
      <c r="E291" s="31">
        <v>335</v>
      </c>
      <c r="F291" s="31">
        <v>13400</v>
      </c>
      <c r="G291" s="31">
        <v>15812</v>
      </c>
      <c r="H291" s="31">
        <v>2412</v>
      </c>
      <c r="I291" s="31" t="s">
        <v>8</v>
      </c>
    </row>
    <row r="292" spans="1:9" x14ac:dyDescent="0.25">
      <c r="A292" s="32">
        <v>45787</v>
      </c>
      <c r="B292" s="31" t="s">
        <v>98</v>
      </c>
      <c r="C292" s="31" t="s">
        <v>8</v>
      </c>
      <c r="D292" s="31">
        <v>420</v>
      </c>
      <c r="E292" s="31">
        <v>130</v>
      </c>
      <c r="F292" s="31">
        <v>54600</v>
      </c>
      <c r="G292" s="31">
        <v>64428</v>
      </c>
      <c r="H292" s="31">
        <v>9828</v>
      </c>
      <c r="I292" s="31" t="s">
        <v>8</v>
      </c>
    </row>
    <row r="293" spans="1:9" x14ac:dyDescent="0.25">
      <c r="A293" s="32">
        <v>45788</v>
      </c>
      <c r="B293" s="31" t="s">
        <v>98</v>
      </c>
      <c r="C293" s="31" t="s">
        <v>8</v>
      </c>
      <c r="D293" s="31">
        <v>26</v>
      </c>
      <c r="E293" s="31">
        <v>130</v>
      </c>
      <c r="F293" s="31">
        <v>3380</v>
      </c>
      <c r="G293" s="31">
        <v>3988</v>
      </c>
      <c r="H293" s="31">
        <v>608.4</v>
      </c>
      <c r="I293" s="31" t="s">
        <v>8</v>
      </c>
    </row>
    <row r="294" spans="1:9" x14ac:dyDescent="0.25">
      <c r="A294" s="32">
        <v>45788</v>
      </c>
      <c r="B294" s="31" t="s">
        <v>17</v>
      </c>
      <c r="C294" s="31" t="s">
        <v>8</v>
      </c>
      <c r="D294" s="31">
        <v>61</v>
      </c>
      <c r="E294" s="31">
        <v>130.82</v>
      </c>
      <c r="F294" s="31">
        <v>7980</v>
      </c>
      <c r="G294" s="31">
        <v>9416</v>
      </c>
      <c r="H294" s="31">
        <v>1436.3999999999999</v>
      </c>
      <c r="I294" s="31" t="s">
        <v>8</v>
      </c>
    </row>
    <row r="295" spans="1:9" x14ac:dyDescent="0.25">
      <c r="A295" s="32">
        <v>45788</v>
      </c>
      <c r="B295" s="31" t="s">
        <v>98</v>
      </c>
      <c r="C295" s="31" t="s">
        <v>8</v>
      </c>
      <c r="D295" s="31">
        <v>52</v>
      </c>
      <c r="E295" s="31">
        <v>115</v>
      </c>
      <c r="F295" s="31">
        <v>5980</v>
      </c>
      <c r="G295" s="31">
        <v>7056</v>
      </c>
      <c r="H295" s="31">
        <v>1076.3999999999999</v>
      </c>
      <c r="I295" s="31" t="s">
        <v>8</v>
      </c>
    </row>
    <row r="296" spans="1:9" x14ac:dyDescent="0.25">
      <c r="A296" s="32">
        <v>45788</v>
      </c>
      <c r="B296" s="31" t="s">
        <v>73</v>
      </c>
      <c r="C296" s="31" t="s">
        <v>8</v>
      </c>
      <c r="D296" s="31">
        <v>70</v>
      </c>
      <c r="E296" s="31">
        <v>116.5</v>
      </c>
      <c r="F296" s="31">
        <v>8155</v>
      </c>
      <c r="G296" s="31">
        <v>9623</v>
      </c>
      <c r="H296" s="31">
        <v>1467.8999999999999</v>
      </c>
      <c r="I296" s="31" t="s">
        <v>8</v>
      </c>
    </row>
    <row r="297" spans="1:9" x14ac:dyDescent="0.25">
      <c r="A297" s="32">
        <v>45788</v>
      </c>
      <c r="B297" s="31" t="s">
        <v>103</v>
      </c>
      <c r="C297" s="31" t="s">
        <v>8</v>
      </c>
      <c r="D297" s="31">
        <v>520</v>
      </c>
      <c r="E297" s="31">
        <v>83.46</v>
      </c>
      <c r="F297" s="31">
        <v>43400</v>
      </c>
      <c r="G297" s="31">
        <v>51212</v>
      </c>
      <c r="H297" s="31">
        <v>7812</v>
      </c>
      <c r="I297" s="31" t="s">
        <v>8</v>
      </c>
    </row>
    <row r="298" spans="1:9" x14ac:dyDescent="0.25">
      <c r="A298" s="32">
        <v>45789</v>
      </c>
      <c r="B298" s="31" t="s">
        <v>98</v>
      </c>
      <c r="C298" s="31" t="s">
        <v>8</v>
      </c>
      <c r="D298" s="31">
        <v>26</v>
      </c>
      <c r="E298" s="31">
        <v>107</v>
      </c>
      <c r="F298" s="31">
        <v>2782</v>
      </c>
      <c r="G298" s="31">
        <v>3283</v>
      </c>
      <c r="H298" s="31">
        <v>500.76</v>
      </c>
      <c r="I298" s="31" t="s">
        <v>8</v>
      </c>
    </row>
    <row r="299" spans="1:9" x14ac:dyDescent="0.25">
      <c r="A299" s="32">
        <v>45789</v>
      </c>
      <c r="B299" s="31" t="s">
        <v>96</v>
      </c>
      <c r="C299" s="31" t="s">
        <v>8</v>
      </c>
      <c r="D299" s="31">
        <v>210</v>
      </c>
      <c r="E299" s="31">
        <v>62</v>
      </c>
      <c r="F299" s="31">
        <v>13020</v>
      </c>
      <c r="G299" s="31">
        <v>15364</v>
      </c>
      <c r="H299" s="31">
        <v>2343.6</v>
      </c>
      <c r="I299" s="31" t="s">
        <v>8</v>
      </c>
    </row>
    <row r="300" spans="1:9" x14ac:dyDescent="0.25">
      <c r="A300" s="32">
        <v>45789</v>
      </c>
      <c r="B300" s="31" t="s">
        <v>96</v>
      </c>
      <c r="C300" s="31" t="s">
        <v>8</v>
      </c>
      <c r="D300" s="31">
        <v>420</v>
      </c>
      <c r="E300" s="31">
        <v>55</v>
      </c>
      <c r="F300" s="31">
        <v>23100</v>
      </c>
      <c r="G300" s="31">
        <v>27258</v>
      </c>
      <c r="H300" s="31">
        <v>4158</v>
      </c>
      <c r="I300" s="31" t="s">
        <v>8</v>
      </c>
    </row>
    <row r="301" spans="1:9" x14ac:dyDescent="0.25">
      <c r="A301" s="32">
        <v>45789</v>
      </c>
      <c r="B301" s="31" t="s">
        <v>98</v>
      </c>
      <c r="C301" s="31" t="s">
        <v>8</v>
      </c>
      <c r="D301" s="31">
        <v>840</v>
      </c>
      <c r="E301" s="31">
        <v>71</v>
      </c>
      <c r="F301" s="31">
        <v>59640</v>
      </c>
      <c r="G301" s="31">
        <v>70375</v>
      </c>
      <c r="H301" s="31">
        <v>10735.199999999999</v>
      </c>
      <c r="I301" s="31" t="s">
        <v>8</v>
      </c>
    </row>
    <row r="302" spans="1:9" x14ac:dyDescent="0.25">
      <c r="A302" s="32">
        <v>45789</v>
      </c>
      <c r="B302" s="31" t="s">
        <v>44</v>
      </c>
      <c r="C302" s="31" t="s">
        <v>8</v>
      </c>
      <c r="D302" s="31">
        <v>182</v>
      </c>
      <c r="E302" s="31">
        <v>106.86</v>
      </c>
      <c r="F302" s="31">
        <v>19448</v>
      </c>
      <c r="G302" s="31">
        <v>22949</v>
      </c>
      <c r="H302" s="31">
        <v>3500.64</v>
      </c>
      <c r="I302" s="31" t="s">
        <v>8</v>
      </c>
    </row>
    <row r="303" spans="1:9" x14ac:dyDescent="0.25">
      <c r="A303" s="32">
        <v>45789</v>
      </c>
      <c r="B303" s="31" t="s">
        <v>51</v>
      </c>
      <c r="C303" s="31" t="s">
        <v>8</v>
      </c>
      <c r="D303" s="31">
        <v>78</v>
      </c>
      <c r="E303" s="31">
        <v>115</v>
      </c>
      <c r="F303" s="31">
        <v>8970</v>
      </c>
      <c r="G303" s="31">
        <v>10585</v>
      </c>
      <c r="H303" s="31">
        <v>1614.6</v>
      </c>
      <c r="I303" s="31" t="s">
        <v>8</v>
      </c>
    </row>
    <row r="304" spans="1:9" x14ac:dyDescent="0.25">
      <c r="A304" s="32">
        <v>45789</v>
      </c>
      <c r="B304" s="31" t="s">
        <v>96</v>
      </c>
      <c r="C304" s="31" t="s">
        <v>8</v>
      </c>
      <c r="D304" s="31">
        <v>52</v>
      </c>
      <c r="E304" s="31">
        <v>105</v>
      </c>
      <c r="F304" s="31">
        <v>5460</v>
      </c>
      <c r="G304" s="31">
        <v>6443</v>
      </c>
      <c r="H304" s="31">
        <v>982.8</v>
      </c>
      <c r="I304" s="31" t="s">
        <v>8</v>
      </c>
    </row>
    <row r="305" spans="1:9" x14ac:dyDescent="0.25">
      <c r="A305" s="32">
        <v>45789</v>
      </c>
      <c r="B305" s="31" t="s">
        <v>86</v>
      </c>
      <c r="C305" s="31" t="s">
        <v>8</v>
      </c>
      <c r="D305" s="31">
        <v>245</v>
      </c>
      <c r="E305" s="31">
        <v>78.709999999999994</v>
      </c>
      <c r="F305" s="31">
        <v>19285</v>
      </c>
      <c r="G305" s="31">
        <v>22756</v>
      </c>
      <c r="H305" s="31">
        <v>3471.2999999999997</v>
      </c>
      <c r="I305" s="31" t="s">
        <v>8</v>
      </c>
    </row>
    <row r="306" spans="1:9" x14ac:dyDescent="0.25">
      <c r="A306" s="32">
        <v>45790</v>
      </c>
      <c r="B306" s="31" t="s">
        <v>98</v>
      </c>
      <c r="C306" s="31" t="s">
        <v>8</v>
      </c>
      <c r="D306" s="31">
        <v>30</v>
      </c>
      <c r="E306" s="31">
        <v>98</v>
      </c>
      <c r="F306" s="31">
        <v>2940</v>
      </c>
      <c r="G306" s="31">
        <v>3469</v>
      </c>
      <c r="H306" s="31">
        <v>529.19999999999993</v>
      </c>
      <c r="I306" s="31" t="s">
        <v>8</v>
      </c>
    </row>
    <row r="307" spans="1:9" x14ac:dyDescent="0.25">
      <c r="A307" s="32">
        <v>45790</v>
      </c>
      <c r="B307" s="31" t="s">
        <v>98</v>
      </c>
      <c r="C307" s="31" t="s">
        <v>8</v>
      </c>
      <c r="D307" s="31">
        <v>6</v>
      </c>
      <c r="E307" s="31">
        <v>166.67</v>
      </c>
      <c r="F307" s="31">
        <v>1000</v>
      </c>
      <c r="G307" s="31">
        <v>1164</v>
      </c>
      <c r="H307" s="31">
        <v>180</v>
      </c>
      <c r="I307" s="31" t="s">
        <v>8</v>
      </c>
    </row>
    <row r="308" spans="1:9" x14ac:dyDescent="0.25">
      <c r="A308" s="32">
        <v>45790</v>
      </c>
      <c r="B308" s="31" t="s">
        <v>95</v>
      </c>
      <c r="C308" s="31" t="s">
        <v>8</v>
      </c>
      <c r="D308" s="31">
        <v>220</v>
      </c>
      <c r="E308" s="31">
        <v>55</v>
      </c>
      <c r="F308" s="31">
        <v>12100</v>
      </c>
      <c r="G308" s="31">
        <v>14278</v>
      </c>
      <c r="H308" s="31">
        <v>2178</v>
      </c>
      <c r="I308" s="31" t="s">
        <v>8</v>
      </c>
    </row>
    <row r="309" spans="1:9" x14ac:dyDescent="0.25">
      <c r="A309" s="32">
        <v>45790</v>
      </c>
      <c r="B309" s="31" t="s">
        <v>94</v>
      </c>
      <c r="C309" s="31" t="s">
        <v>8</v>
      </c>
      <c r="D309" s="31">
        <v>1</v>
      </c>
      <c r="E309" s="31">
        <v>200</v>
      </c>
      <c r="F309" s="31">
        <v>200</v>
      </c>
      <c r="G309" s="31">
        <v>236</v>
      </c>
      <c r="H309" s="31">
        <v>36</v>
      </c>
      <c r="I309" s="31" t="s">
        <v>8</v>
      </c>
    </row>
    <row r="310" spans="1:9" x14ac:dyDescent="0.25">
      <c r="A310" s="32">
        <v>45790</v>
      </c>
      <c r="B310" s="31" t="s">
        <v>98</v>
      </c>
      <c r="C310" s="31" t="s">
        <v>8</v>
      </c>
      <c r="D310" s="31">
        <v>1000</v>
      </c>
      <c r="E310" s="31">
        <v>40</v>
      </c>
      <c r="F310" s="31">
        <v>40000</v>
      </c>
      <c r="G310" s="31">
        <v>47200</v>
      </c>
      <c r="H310" s="31">
        <v>7200</v>
      </c>
      <c r="I310" s="31" t="s">
        <v>8</v>
      </c>
    </row>
    <row r="311" spans="1:9" x14ac:dyDescent="0.25">
      <c r="A311" s="32">
        <v>45790</v>
      </c>
      <c r="B311" s="31" t="s">
        <v>94</v>
      </c>
      <c r="C311" s="31" t="s">
        <v>8</v>
      </c>
      <c r="D311" s="31">
        <v>26</v>
      </c>
      <c r="E311" s="31">
        <v>105</v>
      </c>
      <c r="F311" s="31">
        <v>2730</v>
      </c>
      <c r="G311" s="31">
        <v>3221</v>
      </c>
      <c r="H311" s="31">
        <v>491.4</v>
      </c>
      <c r="I311" s="31" t="s">
        <v>8</v>
      </c>
    </row>
    <row r="312" spans="1:9" x14ac:dyDescent="0.25">
      <c r="A312" s="32">
        <v>45790</v>
      </c>
      <c r="B312" s="31" t="s">
        <v>42</v>
      </c>
      <c r="C312" s="31" t="s">
        <v>8</v>
      </c>
      <c r="D312" s="31">
        <v>78</v>
      </c>
      <c r="E312" s="31">
        <v>120</v>
      </c>
      <c r="F312" s="31">
        <v>9360</v>
      </c>
      <c r="G312" s="31">
        <v>11045</v>
      </c>
      <c r="H312" s="31">
        <v>1684.8</v>
      </c>
      <c r="I312" s="31" t="s">
        <v>8</v>
      </c>
    </row>
    <row r="313" spans="1:9" x14ac:dyDescent="0.25">
      <c r="A313" s="32">
        <v>45790</v>
      </c>
      <c r="B313" s="31" t="s">
        <v>17</v>
      </c>
      <c r="C313" s="31" t="s">
        <v>8</v>
      </c>
      <c r="D313" s="31">
        <v>35</v>
      </c>
      <c r="E313" s="31">
        <v>105</v>
      </c>
      <c r="F313" s="31">
        <v>3675</v>
      </c>
      <c r="G313" s="31">
        <v>4337</v>
      </c>
      <c r="H313" s="31">
        <v>661.5</v>
      </c>
      <c r="I313" s="31" t="s">
        <v>8</v>
      </c>
    </row>
    <row r="314" spans="1:9" x14ac:dyDescent="0.25">
      <c r="A314" s="32">
        <v>45791</v>
      </c>
      <c r="B314" s="31" t="s">
        <v>91</v>
      </c>
      <c r="C314" s="31" t="s">
        <v>8</v>
      </c>
      <c r="D314" s="31">
        <v>210</v>
      </c>
      <c r="E314" s="31">
        <v>118</v>
      </c>
      <c r="F314" s="31">
        <v>24780</v>
      </c>
      <c r="G314" s="31">
        <v>29240</v>
      </c>
      <c r="H314" s="31">
        <v>4460.3999999999996</v>
      </c>
      <c r="I314" s="31" t="s">
        <v>8</v>
      </c>
    </row>
    <row r="315" spans="1:9" x14ac:dyDescent="0.25">
      <c r="A315" s="32">
        <v>45791</v>
      </c>
      <c r="B315" s="31" t="s">
        <v>63</v>
      </c>
      <c r="C315" s="31" t="s">
        <v>8</v>
      </c>
      <c r="D315" s="31">
        <v>1890</v>
      </c>
      <c r="E315" s="31">
        <v>136.24</v>
      </c>
      <c r="F315" s="31">
        <v>257490</v>
      </c>
      <c r="G315" s="31">
        <v>303838</v>
      </c>
      <c r="H315" s="31">
        <v>46348.2</v>
      </c>
      <c r="I315" s="31" t="s">
        <v>8</v>
      </c>
    </row>
    <row r="316" spans="1:9" x14ac:dyDescent="0.25">
      <c r="A316" s="32">
        <v>45791</v>
      </c>
      <c r="B316" s="31" t="s">
        <v>16</v>
      </c>
      <c r="C316" s="31" t="s">
        <v>8</v>
      </c>
      <c r="D316" s="31">
        <v>40</v>
      </c>
      <c r="E316" s="31">
        <v>335</v>
      </c>
      <c r="F316" s="31">
        <v>13400</v>
      </c>
      <c r="G316" s="31">
        <v>15812</v>
      </c>
      <c r="H316" s="31">
        <v>2412</v>
      </c>
      <c r="I316" s="31" t="s">
        <v>8</v>
      </c>
    </row>
    <row r="317" spans="1:9" x14ac:dyDescent="0.25">
      <c r="A317" s="32">
        <v>45791</v>
      </c>
      <c r="B317" s="31" t="s">
        <v>51</v>
      </c>
      <c r="C317" s="31" t="s">
        <v>8</v>
      </c>
      <c r="D317" s="31">
        <v>24</v>
      </c>
      <c r="E317" s="31">
        <v>160</v>
      </c>
      <c r="F317" s="31">
        <v>3840</v>
      </c>
      <c r="G317" s="31">
        <v>4531</v>
      </c>
      <c r="H317" s="31">
        <v>691.19999999999993</v>
      </c>
      <c r="I317" s="31" t="s">
        <v>8</v>
      </c>
    </row>
    <row r="318" spans="1:9" x14ac:dyDescent="0.25">
      <c r="A318" s="32">
        <v>45791</v>
      </c>
      <c r="B318" s="31" t="s">
        <v>98</v>
      </c>
      <c r="C318" s="31" t="s">
        <v>8</v>
      </c>
      <c r="D318" s="31">
        <v>26</v>
      </c>
      <c r="E318" s="31">
        <v>160</v>
      </c>
      <c r="F318" s="31">
        <v>4160</v>
      </c>
      <c r="G318" s="31">
        <v>4909</v>
      </c>
      <c r="H318" s="31">
        <v>748.8</v>
      </c>
      <c r="I318" s="31" t="s">
        <v>8</v>
      </c>
    </row>
    <row r="319" spans="1:9" x14ac:dyDescent="0.25">
      <c r="A319" s="32">
        <v>45791</v>
      </c>
      <c r="B319" s="31" t="s">
        <v>98</v>
      </c>
      <c r="C319" s="31" t="s">
        <v>8</v>
      </c>
      <c r="D319" s="31">
        <v>104</v>
      </c>
      <c r="E319" s="31">
        <v>114.5</v>
      </c>
      <c r="F319" s="31">
        <v>11908</v>
      </c>
      <c r="G319" s="31">
        <v>14051</v>
      </c>
      <c r="H319" s="31">
        <v>2143.44</v>
      </c>
      <c r="I319" s="31" t="s">
        <v>8</v>
      </c>
    </row>
    <row r="320" spans="1:9" x14ac:dyDescent="0.25">
      <c r="A320" s="32">
        <v>45791</v>
      </c>
      <c r="B320" s="31" t="s">
        <v>98</v>
      </c>
      <c r="C320" s="31" t="s">
        <v>8</v>
      </c>
      <c r="D320" s="31">
        <v>156</v>
      </c>
      <c r="E320" s="31">
        <v>110</v>
      </c>
      <c r="F320" s="31">
        <v>17160</v>
      </c>
      <c r="G320" s="31">
        <v>20249</v>
      </c>
      <c r="H320" s="31">
        <v>3088.7999999999997</v>
      </c>
      <c r="I320" s="31" t="s">
        <v>8</v>
      </c>
    </row>
    <row r="321" spans="1:9" x14ac:dyDescent="0.25">
      <c r="A321" s="32">
        <v>45791</v>
      </c>
      <c r="B321" s="31" t="s">
        <v>95</v>
      </c>
      <c r="C321" s="31" t="s">
        <v>8</v>
      </c>
      <c r="D321" s="31">
        <v>80</v>
      </c>
      <c r="E321" s="31">
        <v>104.5</v>
      </c>
      <c r="F321" s="31">
        <v>8360</v>
      </c>
      <c r="G321" s="31">
        <v>9865</v>
      </c>
      <c r="H321" s="31">
        <v>1504.8</v>
      </c>
      <c r="I321" s="31" t="s">
        <v>8</v>
      </c>
    </row>
    <row r="322" spans="1:9" x14ac:dyDescent="0.25">
      <c r="A322" s="32">
        <v>45793</v>
      </c>
      <c r="B322" s="31" t="s">
        <v>95</v>
      </c>
      <c r="C322" s="31" t="s">
        <v>8</v>
      </c>
      <c r="D322" s="31">
        <v>35</v>
      </c>
      <c r="E322" s="31">
        <v>66</v>
      </c>
      <c r="F322" s="31">
        <v>2310</v>
      </c>
      <c r="G322" s="31">
        <v>2726</v>
      </c>
      <c r="H322" s="31">
        <v>415.8</v>
      </c>
      <c r="I322" s="31" t="s">
        <v>8</v>
      </c>
    </row>
    <row r="323" spans="1:9" x14ac:dyDescent="0.25">
      <c r="A323" s="32">
        <v>45793</v>
      </c>
      <c r="B323" s="31" t="s">
        <v>94</v>
      </c>
      <c r="C323" s="31" t="s">
        <v>8</v>
      </c>
      <c r="D323" s="31">
        <v>630</v>
      </c>
      <c r="E323" s="31">
        <v>75</v>
      </c>
      <c r="F323" s="31">
        <v>47250</v>
      </c>
      <c r="G323" s="31">
        <v>55755</v>
      </c>
      <c r="H323" s="31">
        <v>8505</v>
      </c>
      <c r="I323" s="31" t="s">
        <v>8</v>
      </c>
    </row>
    <row r="324" spans="1:9" x14ac:dyDescent="0.25">
      <c r="A324" s="32">
        <v>45793</v>
      </c>
      <c r="B324" s="31" t="s">
        <v>95</v>
      </c>
      <c r="C324" s="31" t="s">
        <v>8</v>
      </c>
      <c r="D324" s="31">
        <v>26</v>
      </c>
      <c r="E324" s="31">
        <v>115</v>
      </c>
      <c r="F324" s="31">
        <v>2990</v>
      </c>
      <c r="G324" s="31">
        <v>3528</v>
      </c>
      <c r="H324" s="31">
        <v>538.19999999999993</v>
      </c>
      <c r="I324" s="31" t="s">
        <v>8</v>
      </c>
    </row>
    <row r="325" spans="1:9" x14ac:dyDescent="0.25">
      <c r="A325" s="32">
        <v>45793</v>
      </c>
      <c r="B325" s="31" t="s">
        <v>42</v>
      </c>
      <c r="C325" s="31" t="s">
        <v>8</v>
      </c>
      <c r="D325" s="31">
        <v>5</v>
      </c>
      <c r="E325" s="31">
        <v>220</v>
      </c>
      <c r="F325" s="31">
        <v>1100</v>
      </c>
      <c r="G325" s="31">
        <v>1298</v>
      </c>
      <c r="H325" s="31">
        <v>198</v>
      </c>
      <c r="I325" s="31" t="s">
        <v>8</v>
      </c>
    </row>
    <row r="326" spans="1:9" x14ac:dyDescent="0.25">
      <c r="A326" s="32">
        <v>45793</v>
      </c>
      <c r="B326" s="31" t="s">
        <v>94</v>
      </c>
      <c r="C326" s="31" t="s">
        <v>8</v>
      </c>
      <c r="D326" s="31">
        <v>26</v>
      </c>
      <c r="E326" s="31">
        <v>103</v>
      </c>
      <c r="F326" s="31">
        <v>2678</v>
      </c>
      <c r="G326" s="31">
        <v>3160</v>
      </c>
      <c r="H326" s="31">
        <v>482.03999999999996</v>
      </c>
      <c r="I326" s="31" t="s">
        <v>8</v>
      </c>
    </row>
    <row r="327" spans="1:9" x14ac:dyDescent="0.25">
      <c r="A327" s="32">
        <v>45793</v>
      </c>
      <c r="B327" s="31" t="s">
        <v>98</v>
      </c>
      <c r="C327" s="31" t="s">
        <v>8</v>
      </c>
      <c r="D327" s="31">
        <v>66</v>
      </c>
      <c r="E327" s="31">
        <v>151.36000000000001</v>
      </c>
      <c r="F327" s="31">
        <v>9990</v>
      </c>
      <c r="G327" s="31">
        <v>11788</v>
      </c>
      <c r="H327" s="31">
        <v>1798.2</v>
      </c>
      <c r="I327" s="31" t="s">
        <v>8</v>
      </c>
    </row>
    <row r="328" spans="1:9" x14ac:dyDescent="0.25">
      <c r="A328" s="32">
        <v>45793</v>
      </c>
      <c r="B328" s="31" t="s">
        <v>63</v>
      </c>
      <c r="C328" s="31" t="s">
        <v>8</v>
      </c>
      <c r="D328" s="31">
        <v>300</v>
      </c>
      <c r="E328" s="31">
        <v>52</v>
      </c>
      <c r="F328" s="31">
        <v>15600</v>
      </c>
      <c r="G328" s="31">
        <v>16380</v>
      </c>
      <c r="H328" s="31">
        <v>2808</v>
      </c>
      <c r="I328" s="31" t="s">
        <v>8</v>
      </c>
    </row>
    <row r="329" spans="1:9" x14ac:dyDescent="0.25">
      <c r="A329" s="32">
        <v>45793</v>
      </c>
      <c r="B329" s="31" t="s">
        <v>97</v>
      </c>
      <c r="C329" s="31" t="s">
        <v>8</v>
      </c>
      <c r="D329" s="31">
        <v>5</v>
      </c>
      <c r="E329" s="31">
        <v>120</v>
      </c>
      <c r="F329" s="31">
        <v>600</v>
      </c>
      <c r="G329" s="31">
        <v>708</v>
      </c>
      <c r="H329" s="31">
        <v>108</v>
      </c>
      <c r="I329" s="31" t="s">
        <v>8</v>
      </c>
    </row>
    <row r="330" spans="1:9" x14ac:dyDescent="0.25">
      <c r="A330" s="32">
        <v>45793</v>
      </c>
      <c r="B330" s="31" t="s">
        <v>14</v>
      </c>
      <c r="C330" s="31" t="s">
        <v>8</v>
      </c>
      <c r="D330" s="31">
        <v>26</v>
      </c>
      <c r="E330" s="31">
        <v>108</v>
      </c>
      <c r="F330" s="31">
        <v>2808</v>
      </c>
      <c r="G330" s="31">
        <v>3313</v>
      </c>
      <c r="H330" s="31">
        <v>505.44</v>
      </c>
      <c r="I330" s="31" t="s">
        <v>8</v>
      </c>
    </row>
    <row r="331" spans="1:9" x14ac:dyDescent="0.25">
      <c r="A331" s="32">
        <v>45793</v>
      </c>
      <c r="B331" s="31" t="s">
        <v>63</v>
      </c>
      <c r="C331" s="31" t="s">
        <v>8</v>
      </c>
      <c r="D331" s="31">
        <v>150</v>
      </c>
      <c r="E331" s="31">
        <v>52</v>
      </c>
      <c r="F331" s="31">
        <v>7800</v>
      </c>
      <c r="G331" s="31">
        <v>8190</v>
      </c>
      <c r="H331" s="31">
        <v>1404</v>
      </c>
      <c r="I331" s="31" t="s">
        <v>8</v>
      </c>
    </row>
    <row r="332" spans="1:9" x14ac:dyDescent="0.25">
      <c r="A332" s="32">
        <v>45793</v>
      </c>
      <c r="B332" s="31" t="s">
        <v>98</v>
      </c>
      <c r="C332" s="31" t="s">
        <v>8</v>
      </c>
      <c r="D332" s="31">
        <v>5</v>
      </c>
      <c r="E332" s="31">
        <v>230</v>
      </c>
      <c r="F332" s="31">
        <v>1150</v>
      </c>
      <c r="G332" s="31">
        <v>1357</v>
      </c>
      <c r="H332" s="31">
        <v>207</v>
      </c>
      <c r="I332" s="31" t="s">
        <v>8</v>
      </c>
    </row>
    <row r="333" spans="1:9" x14ac:dyDescent="0.25">
      <c r="A333" s="32">
        <v>45793</v>
      </c>
      <c r="B333" s="31" t="s">
        <v>84</v>
      </c>
      <c r="C333" s="31" t="s">
        <v>8</v>
      </c>
      <c r="D333" s="31">
        <v>5</v>
      </c>
      <c r="E333" s="31">
        <v>200</v>
      </c>
      <c r="F333" s="31">
        <v>1000</v>
      </c>
      <c r="G333" s="31">
        <v>1180</v>
      </c>
      <c r="H333" s="31">
        <v>180</v>
      </c>
      <c r="I333" s="31" t="s">
        <v>8</v>
      </c>
    </row>
    <row r="334" spans="1:9" x14ac:dyDescent="0.25">
      <c r="A334" s="32">
        <v>45793</v>
      </c>
      <c r="B334" s="31" t="s">
        <v>96</v>
      </c>
      <c r="C334" s="31" t="s">
        <v>8</v>
      </c>
      <c r="D334" s="31">
        <v>35</v>
      </c>
      <c r="E334" s="31">
        <v>62</v>
      </c>
      <c r="F334" s="31">
        <v>2170</v>
      </c>
      <c r="G334" s="31">
        <v>2561</v>
      </c>
      <c r="H334" s="31">
        <v>390.59999999999997</v>
      </c>
      <c r="I334" s="31" t="s">
        <v>8</v>
      </c>
    </row>
    <row r="335" spans="1:9" x14ac:dyDescent="0.25">
      <c r="A335" s="32">
        <v>45794</v>
      </c>
      <c r="B335" s="31" t="s">
        <v>96</v>
      </c>
      <c r="C335" s="31" t="s">
        <v>8</v>
      </c>
      <c r="D335" s="31">
        <v>210</v>
      </c>
      <c r="E335" s="31">
        <v>90</v>
      </c>
      <c r="F335" s="31">
        <v>18900</v>
      </c>
      <c r="G335" s="31">
        <v>22302</v>
      </c>
      <c r="H335" s="31">
        <v>3402</v>
      </c>
      <c r="I335" s="31" t="s">
        <v>8</v>
      </c>
    </row>
    <row r="336" spans="1:9" x14ac:dyDescent="0.25">
      <c r="A336" s="32">
        <v>45794</v>
      </c>
      <c r="B336" s="31" t="s">
        <v>11</v>
      </c>
      <c r="C336" s="31" t="s">
        <v>8</v>
      </c>
      <c r="D336" s="31">
        <v>35</v>
      </c>
      <c r="E336" s="31">
        <v>70</v>
      </c>
      <c r="F336" s="31">
        <v>2450</v>
      </c>
      <c r="G336" s="31">
        <v>2891</v>
      </c>
      <c r="H336" s="31">
        <v>441</v>
      </c>
      <c r="I336" s="31" t="s">
        <v>8</v>
      </c>
    </row>
    <row r="337" spans="1:9" x14ac:dyDescent="0.25">
      <c r="A337" s="32">
        <v>45794</v>
      </c>
      <c r="B337" s="31" t="s">
        <v>93</v>
      </c>
      <c r="C337" s="31" t="s">
        <v>8</v>
      </c>
      <c r="D337" s="31">
        <v>182</v>
      </c>
      <c r="E337" s="31">
        <v>115</v>
      </c>
      <c r="F337" s="31">
        <v>20930</v>
      </c>
      <c r="G337" s="31">
        <v>24697</v>
      </c>
      <c r="H337" s="31">
        <v>3767.3999999999996</v>
      </c>
      <c r="I337" s="31" t="s">
        <v>8</v>
      </c>
    </row>
    <row r="338" spans="1:9" x14ac:dyDescent="0.25">
      <c r="A338" s="32">
        <v>45794</v>
      </c>
      <c r="B338" s="31" t="s">
        <v>94</v>
      </c>
      <c r="C338" s="31" t="s">
        <v>8</v>
      </c>
      <c r="D338" s="31">
        <v>252</v>
      </c>
      <c r="E338" s="31">
        <v>77.06</v>
      </c>
      <c r="F338" s="31">
        <v>19420</v>
      </c>
      <c r="G338" s="31">
        <v>22916</v>
      </c>
      <c r="H338" s="31">
        <v>3495.6</v>
      </c>
      <c r="I338" s="31" t="s">
        <v>8</v>
      </c>
    </row>
    <row r="339" spans="1:9" x14ac:dyDescent="0.25">
      <c r="A339" s="32">
        <v>45794</v>
      </c>
      <c r="B339" s="31" t="s">
        <v>30</v>
      </c>
      <c r="C339" s="31" t="s">
        <v>8</v>
      </c>
      <c r="D339" s="31">
        <v>26</v>
      </c>
      <c r="E339" s="31">
        <v>115</v>
      </c>
      <c r="F339" s="31">
        <v>3800</v>
      </c>
      <c r="G339" s="31">
        <v>4445</v>
      </c>
      <c r="H339" s="31">
        <v>684</v>
      </c>
      <c r="I339" s="31" t="s">
        <v>8</v>
      </c>
    </row>
    <row r="340" spans="1:9" x14ac:dyDescent="0.25">
      <c r="A340" s="32">
        <v>45794</v>
      </c>
      <c r="B340" s="31" t="s">
        <v>98</v>
      </c>
      <c r="C340" s="31" t="s">
        <v>8</v>
      </c>
      <c r="D340" s="31">
        <v>26</v>
      </c>
      <c r="E340" s="31">
        <v>115</v>
      </c>
      <c r="F340" s="31">
        <v>6250</v>
      </c>
      <c r="G340" s="31">
        <v>6985</v>
      </c>
      <c r="H340" s="31">
        <v>1125</v>
      </c>
      <c r="I340" s="31" t="s">
        <v>8</v>
      </c>
    </row>
    <row r="341" spans="1:9" x14ac:dyDescent="0.25">
      <c r="A341" s="32">
        <v>45794</v>
      </c>
      <c r="B341" s="31" t="s">
        <v>94</v>
      </c>
      <c r="C341" s="31" t="s">
        <v>8</v>
      </c>
      <c r="D341" s="31">
        <v>3</v>
      </c>
      <c r="E341" s="31">
        <v>110</v>
      </c>
      <c r="F341" s="31">
        <v>330</v>
      </c>
      <c r="G341" s="31">
        <v>389</v>
      </c>
      <c r="H341" s="31">
        <v>59.4</v>
      </c>
      <c r="I341" s="31" t="s">
        <v>8</v>
      </c>
    </row>
    <row r="342" spans="1:9" x14ac:dyDescent="0.25">
      <c r="A342" s="32">
        <v>45794</v>
      </c>
      <c r="B342" s="31" t="s">
        <v>53</v>
      </c>
      <c r="C342" s="31" t="s">
        <v>8</v>
      </c>
      <c r="D342" s="31">
        <v>1050</v>
      </c>
      <c r="E342" s="31">
        <v>76</v>
      </c>
      <c r="F342" s="31">
        <v>79800</v>
      </c>
      <c r="G342" s="31">
        <v>94164</v>
      </c>
      <c r="H342" s="31">
        <v>14364</v>
      </c>
      <c r="I342" s="31" t="s">
        <v>8</v>
      </c>
    </row>
    <row r="343" spans="1:9" x14ac:dyDescent="0.25">
      <c r="A343" s="32">
        <v>45794</v>
      </c>
      <c r="B343" s="31" t="s">
        <v>97</v>
      </c>
      <c r="C343" s="31" t="s">
        <v>8</v>
      </c>
      <c r="D343" s="31">
        <v>236</v>
      </c>
      <c r="E343" s="31">
        <v>126.57</v>
      </c>
      <c r="F343" s="31">
        <v>29870</v>
      </c>
      <c r="G343" s="31">
        <v>35247</v>
      </c>
      <c r="H343" s="31">
        <v>5376.5999999999995</v>
      </c>
      <c r="I343" s="31" t="s">
        <v>8</v>
      </c>
    </row>
    <row r="344" spans="1:9" x14ac:dyDescent="0.25">
      <c r="A344" s="32">
        <v>45795</v>
      </c>
      <c r="B344" s="31" t="s">
        <v>98</v>
      </c>
      <c r="C344" s="31" t="s">
        <v>8</v>
      </c>
      <c r="D344" s="31">
        <v>630</v>
      </c>
      <c r="E344" s="31">
        <v>70</v>
      </c>
      <c r="F344" s="31">
        <v>44100</v>
      </c>
      <c r="G344" s="31">
        <v>52038</v>
      </c>
      <c r="H344" s="31">
        <v>7938</v>
      </c>
      <c r="I344" s="31" t="s">
        <v>8</v>
      </c>
    </row>
    <row r="345" spans="1:9" x14ac:dyDescent="0.25">
      <c r="A345" s="32">
        <v>45795</v>
      </c>
      <c r="B345" s="31" t="s">
        <v>98</v>
      </c>
      <c r="C345" s="31" t="s">
        <v>8</v>
      </c>
      <c r="D345" s="31">
        <v>210</v>
      </c>
      <c r="E345" s="31">
        <v>90</v>
      </c>
      <c r="F345" s="31">
        <v>18900</v>
      </c>
      <c r="G345" s="31">
        <v>22302</v>
      </c>
      <c r="H345" s="31">
        <v>3402</v>
      </c>
      <c r="I345" s="31" t="s">
        <v>8</v>
      </c>
    </row>
    <row r="346" spans="1:9" x14ac:dyDescent="0.25">
      <c r="A346" s="32">
        <v>45795</v>
      </c>
      <c r="B346" s="31" t="s">
        <v>94</v>
      </c>
      <c r="C346" s="31" t="s">
        <v>8</v>
      </c>
      <c r="D346" s="31">
        <v>15</v>
      </c>
      <c r="E346" s="31">
        <v>83</v>
      </c>
      <c r="F346" s="31">
        <v>1245</v>
      </c>
      <c r="G346" s="31">
        <v>1469</v>
      </c>
      <c r="H346" s="31">
        <v>224.1</v>
      </c>
      <c r="I346" s="31" t="s">
        <v>8</v>
      </c>
    </row>
    <row r="347" spans="1:9" x14ac:dyDescent="0.25">
      <c r="A347" s="32">
        <v>45795</v>
      </c>
      <c r="B347" s="31" t="s">
        <v>97</v>
      </c>
      <c r="C347" s="31" t="s">
        <v>8</v>
      </c>
      <c r="D347" s="31">
        <v>26</v>
      </c>
      <c r="E347" s="31">
        <v>128</v>
      </c>
      <c r="F347" s="31">
        <v>3328</v>
      </c>
      <c r="G347" s="31">
        <v>3927</v>
      </c>
      <c r="H347" s="31">
        <v>599.04</v>
      </c>
      <c r="I347" s="31" t="s">
        <v>8</v>
      </c>
    </row>
    <row r="348" spans="1:9" x14ac:dyDescent="0.25">
      <c r="A348" s="32">
        <v>45795</v>
      </c>
      <c r="B348" s="31" t="s">
        <v>97</v>
      </c>
      <c r="C348" s="31" t="s">
        <v>8</v>
      </c>
      <c r="D348" s="31">
        <v>10</v>
      </c>
      <c r="E348" s="31">
        <v>160</v>
      </c>
      <c r="F348" s="31">
        <v>1600</v>
      </c>
      <c r="G348" s="31">
        <v>1888</v>
      </c>
      <c r="H348" s="31">
        <v>288</v>
      </c>
      <c r="I348" s="31" t="s">
        <v>8</v>
      </c>
    </row>
    <row r="349" spans="1:9" x14ac:dyDescent="0.25">
      <c r="A349" s="32">
        <v>45795</v>
      </c>
      <c r="B349" s="31" t="s">
        <v>96</v>
      </c>
      <c r="C349" s="31" t="s">
        <v>8</v>
      </c>
      <c r="D349" s="31">
        <v>52</v>
      </c>
      <c r="E349" s="31">
        <v>125</v>
      </c>
      <c r="F349" s="31">
        <v>6500</v>
      </c>
      <c r="G349" s="31">
        <v>7670</v>
      </c>
      <c r="H349" s="31">
        <v>1170</v>
      </c>
      <c r="I349" s="31" t="s">
        <v>8</v>
      </c>
    </row>
    <row r="350" spans="1:9" x14ac:dyDescent="0.25">
      <c r="A350" s="32">
        <v>45796</v>
      </c>
      <c r="B350" s="31" t="s">
        <v>96</v>
      </c>
      <c r="C350" s="31" t="s">
        <v>8</v>
      </c>
      <c r="D350" s="31">
        <v>52</v>
      </c>
      <c r="E350" s="31">
        <v>120</v>
      </c>
      <c r="F350" s="31">
        <v>6240</v>
      </c>
      <c r="G350" s="31">
        <v>7363</v>
      </c>
      <c r="H350" s="31">
        <v>1123.2</v>
      </c>
      <c r="I350" s="31" t="s">
        <v>8</v>
      </c>
    </row>
    <row r="351" spans="1:9" x14ac:dyDescent="0.25">
      <c r="A351" s="32">
        <v>45796</v>
      </c>
      <c r="B351" s="31" t="s">
        <v>98</v>
      </c>
      <c r="C351" s="31" t="s">
        <v>8</v>
      </c>
      <c r="D351" s="31">
        <v>420</v>
      </c>
      <c r="E351" s="31">
        <v>71</v>
      </c>
      <c r="F351" s="31">
        <v>29820</v>
      </c>
      <c r="G351" s="31">
        <v>35188</v>
      </c>
      <c r="H351" s="31">
        <v>5367.5999999999995</v>
      </c>
      <c r="I351" s="31" t="s">
        <v>8</v>
      </c>
    </row>
    <row r="352" spans="1:9" x14ac:dyDescent="0.25">
      <c r="A352" s="32">
        <v>45796</v>
      </c>
      <c r="B352" s="31" t="s">
        <v>42</v>
      </c>
      <c r="C352" s="31" t="s">
        <v>8</v>
      </c>
      <c r="D352" s="31">
        <v>70</v>
      </c>
      <c r="E352" s="31">
        <v>95</v>
      </c>
      <c r="F352" s="31">
        <v>6650</v>
      </c>
      <c r="G352" s="31">
        <v>7847</v>
      </c>
      <c r="H352" s="31">
        <v>1197</v>
      </c>
      <c r="I352" s="31" t="s">
        <v>8</v>
      </c>
    </row>
    <row r="353" spans="1:9" x14ac:dyDescent="0.25">
      <c r="A353" s="32">
        <v>45796</v>
      </c>
      <c r="B353" s="31" t="s">
        <v>96</v>
      </c>
      <c r="C353" s="31" t="s">
        <v>8</v>
      </c>
      <c r="D353" s="31">
        <v>208</v>
      </c>
      <c r="E353" s="31">
        <v>85</v>
      </c>
      <c r="F353" s="31">
        <v>17680</v>
      </c>
      <c r="G353" s="31">
        <v>20862</v>
      </c>
      <c r="H353" s="31">
        <v>3182.4</v>
      </c>
      <c r="I353" s="31" t="s">
        <v>8</v>
      </c>
    </row>
    <row r="354" spans="1:9" x14ac:dyDescent="0.25">
      <c r="A354" s="32">
        <v>45796</v>
      </c>
      <c r="B354" s="31" t="s">
        <v>98</v>
      </c>
      <c r="C354" s="31" t="s">
        <v>8</v>
      </c>
      <c r="D354" s="31">
        <v>26</v>
      </c>
      <c r="E354" s="31">
        <v>125</v>
      </c>
      <c r="F354" s="31">
        <v>3250</v>
      </c>
      <c r="G354" s="31">
        <v>3835</v>
      </c>
      <c r="H354" s="31">
        <v>585</v>
      </c>
      <c r="I354" s="31" t="s">
        <v>8</v>
      </c>
    </row>
    <row r="355" spans="1:9" x14ac:dyDescent="0.25">
      <c r="A355" s="32">
        <v>45797</v>
      </c>
      <c r="B355" s="31" t="s">
        <v>67</v>
      </c>
      <c r="C355" s="31" t="s">
        <v>8</v>
      </c>
      <c r="D355" s="31">
        <v>57</v>
      </c>
      <c r="E355" s="31">
        <v>131.13999999999999</v>
      </c>
      <c r="F355" s="31">
        <v>7475</v>
      </c>
      <c r="G355" s="31">
        <v>8821</v>
      </c>
      <c r="H355" s="31">
        <v>1345.5</v>
      </c>
      <c r="I355" s="31" t="s">
        <v>8</v>
      </c>
    </row>
    <row r="356" spans="1:9" x14ac:dyDescent="0.25">
      <c r="A356" s="32">
        <v>45797</v>
      </c>
      <c r="B356" s="31" t="s">
        <v>17</v>
      </c>
      <c r="C356" s="31" t="s">
        <v>8</v>
      </c>
      <c r="D356" s="31">
        <v>630</v>
      </c>
      <c r="E356" s="31">
        <v>78.67</v>
      </c>
      <c r="F356" s="31">
        <v>49560</v>
      </c>
      <c r="G356" s="31">
        <v>58481</v>
      </c>
      <c r="H356" s="31">
        <v>8920.7999999999993</v>
      </c>
      <c r="I356" s="31" t="s">
        <v>8</v>
      </c>
    </row>
    <row r="357" spans="1:9" x14ac:dyDescent="0.25">
      <c r="A357" s="32">
        <v>45797</v>
      </c>
      <c r="B357" s="31" t="s">
        <v>94</v>
      </c>
      <c r="C357" s="31" t="s">
        <v>8</v>
      </c>
      <c r="D357" s="31">
        <v>5</v>
      </c>
      <c r="E357" s="31">
        <v>83</v>
      </c>
      <c r="F357" s="31">
        <v>415</v>
      </c>
      <c r="G357" s="31">
        <v>490</v>
      </c>
      <c r="H357" s="31">
        <v>74.7</v>
      </c>
      <c r="I357" s="31" t="s">
        <v>8</v>
      </c>
    </row>
    <row r="358" spans="1:9" x14ac:dyDescent="0.25">
      <c r="A358" s="32">
        <v>45797</v>
      </c>
      <c r="B358" s="31" t="s">
        <v>11</v>
      </c>
      <c r="C358" s="31" t="s">
        <v>8</v>
      </c>
      <c r="D358" s="31">
        <v>70</v>
      </c>
      <c r="E358" s="31">
        <v>70</v>
      </c>
      <c r="F358" s="31">
        <v>4900</v>
      </c>
      <c r="G358" s="31">
        <v>5782</v>
      </c>
      <c r="H358" s="31">
        <v>882</v>
      </c>
      <c r="I358" s="31" t="s">
        <v>8</v>
      </c>
    </row>
    <row r="359" spans="1:9" x14ac:dyDescent="0.25">
      <c r="A359" s="32">
        <v>45797</v>
      </c>
      <c r="B359" s="31" t="s">
        <v>93</v>
      </c>
      <c r="C359" s="31" t="s">
        <v>8</v>
      </c>
      <c r="D359" s="31">
        <v>210</v>
      </c>
      <c r="E359" s="31">
        <v>80</v>
      </c>
      <c r="F359" s="31">
        <v>16800</v>
      </c>
      <c r="G359" s="31">
        <v>19824</v>
      </c>
      <c r="H359" s="31">
        <v>3024</v>
      </c>
      <c r="I359" s="31" t="s">
        <v>8</v>
      </c>
    </row>
    <row r="360" spans="1:9" x14ac:dyDescent="0.25">
      <c r="A360" s="32">
        <v>45797</v>
      </c>
      <c r="B360" s="31" t="s">
        <v>96</v>
      </c>
      <c r="C360" s="31" t="s">
        <v>8</v>
      </c>
      <c r="D360" s="31">
        <v>182</v>
      </c>
      <c r="E360" s="31">
        <v>107.86</v>
      </c>
      <c r="F360" s="31">
        <v>19630</v>
      </c>
      <c r="G360" s="31">
        <v>23163</v>
      </c>
      <c r="H360" s="31">
        <v>3533.4</v>
      </c>
      <c r="I360" s="31" t="s">
        <v>8</v>
      </c>
    </row>
    <row r="361" spans="1:9" x14ac:dyDescent="0.25">
      <c r="A361" s="32">
        <v>45797</v>
      </c>
      <c r="B361" s="31" t="s">
        <v>80</v>
      </c>
      <c r="C361" s="31" t="s">
        <v>8</v>
      </c>
      <c r="D361" s="31">
        <v>420</v>
      </c>
      <c r="E361" s="31">
        <v>70</v>
      </c>
      <c r="F361" s="31">
        <v>29400</v>
      </c>
      <c r="G361" s="31">
        <v>34692</v>
      </c>
      <c r="H361" s="31">
        <v>5292</v>
      </c>
      <c r="I361" s="31" t="s">
        <v>8</v>
      </c>
    </row>
    <row r="362" spans="1:9" x14ac:dyDescent="0.25">
      <c r="A362" s="32">
        <v>45797</v>
      </c>
      <c r="B362" s="31" t="s">
        <v>98</v>
      </c>
      <c r="C362" s="31" t="s">
        <v>8</v>
      </c>
      <c r="D362" s="31">
        <v>78</v>
      </c>
      <c r="E362" s="31">
        <v>125</v>
      </c>
      <c r="F362" s="31">
        <v>9750</v>
      </c>
      <c r="G362" s="31">
        <v>11505</v>
      </c>
      <c r="H362" s="31">
        <v>1755</v>
      </c>
      <c r="I362" s="31" t="s">
        <v>8</v>
      </c>
    </row>
    <row r="363" spans="1:9" x14ac:dyDescent="0.25">
      <c r="A363" s="32">
        <v>45797</v>
      </c>
      <c r="B363" s="31" t="s">
        <v>63</v>
      </c>
      <c r="C363" s="31" t="s">
        <v>8</v>
      </c>
      <c r="D363" s="31">
        <v>26</v>
      </c>
      <c r="E363" s="31">
        <v>115</v>
      </c>
      <c r="F363" s="31">
        <v>61053</v>
      </c>
      <c r="G363" s="31">
        <v>72043</v>
      </c>
      <c r="H363" s="31">
        <v>10989.539999999999</v>
      </c>
      <c r="I363" s="31" t="s">
        <v>8</v>
      </c>
    </row>
    <row r="364" spans="1:9" x14ac:dyDescent="0.25">
      <c r="A364" s="32">
        <v>45797</v>
      </c>
      <c r="B364" s="31" t="s">
        <v>75</v>
      </c>
      <c r="C364" s="31" t="s">
        <v>8</v>
      </c>
      <c r="D364" s="31">
        <v>61</v>
      </c>
      <c r="E364" s="31">
        <v>118</v>
      </c>
      <c r="F364" s="31">
        <v>7198</v>
      </c>
      <c r="G364" s="31">
        <v>8494</v>
      </c>
      <c r="H364" s="31">
        <v>1295.6399999999999</v>
      </c>
      <c r="I364" s="31" t="s">
        <v>8</v>
      </c>
    </row>
    <row r="365" spans="1:9" x14ac:dyDescent="0.25">
      <c r="A365" s="32">
        <v>45798</v>
      </c>
      <c r="B365" s="31" t="s">
        <v>51</v>
      </c>
      <c r="C365" s="31" t="s">
        <v>8</v>
      </c>
      <c r="D365" s="31">
        <v>52</v>
      </c>
      <c r="E365" s="31">
        <v>112.5</v>
      </c>
      <c r="F365" s="31">
        <v>5850</v>
      </c>
      <c r="G365" s="31">
        <v>6903</v>
      </c>
      <c r="H365" s="31">
        <v>1053</v>
      </c>
      <c r="I365" s="31" t="s">
        <v>8</v>
      </c>
    </row>
    <row r="366" spans="1:9" x14ac:dyDescent="0.25">
      <c r="A366" s="32">
        <v>45798</v>
      </c>
      <c r="B366" s="31" t="s">
        <v>31</v>
      </c>
      <c r="C366" s="31" t="s">
        <v>8</v>
      </c>
      <c r="D366" s="31">
        <v>3</v>
      </c>
      <c r="E366" s="31">
        <v>90</v>
      </c>
      <c r="F366" s="31">
        <v>270</v>
      </c>
      <c r="G366" s="31">
        <v>319</v>
      </c>
      <c r="H366" s="31">
        <v>48.6</v>
      </c>
      <c r="I366" s="31" t="s">
        <v>8</v>
      </c>
    </row>
    <row r="367" spans="1:9" x14ac:dyDescent="0.25">
      <c r="A367" s="32">
        <v>45798</v>
      </c>
      <c r="B367" s="31" t="s">
        <v>98</v>
      </c>
      <c r="C367" s="31" t="s">
        <v>8</v>
      </c>
      <c r="D367" s="31">
        <v>83</v>
      </c>
      <c r="E367" s="31">
        <v>126.02</v>
      </c>
      <c r="F367" s="31">
        <v>10460</v>
      </c>
      <c r="G367" s="31">
        <v>12343</v>
      </c>
      <c r="H367" s="31">
        <v>1882.8</v>
      </c>
      <c r="I367" s="31" t="s">
        <v>8</v>
      </c>
    </row>
    <row r="368" spans="1:9" x14ac:dyDescent="0.25">
      <c r="A368" s="32">
        <v>45800</v>
      </c>
      <c r="B368" s="31" t="s">
        <v>98</v>
      </c>
      <c r="C368" s="31" t="s">
        <v>8</v>
      </c>
      <c r="D368" s="31">
        <v>52</v>
      </c>
      <c r="E368" s="31">
        <v>112.5</v>
      </c>
      <c r="F368" s="31">
        <v>5850</v>
      </c>
      <c r="G368" s="31">
        <v>6903</v>
      </c>
      <c r="H368" s="31">
        <v>1053</v>
      </c>
      <c r="I368" s="31" t="s">
        <v>8</v>
      </c>
    </row>
    <row r="369" spans="1:9" x14ac:dyDescent="0.25">
      <c r="A369" s="32">
        <v>45800</v>
      </c>
      <c r="B369" s="31" t="s">
        <v>67</v>
      </c>
      <c r="C369" s="31" t="s">
        <v>8</v>
      </c>
      <c r="D369" s="31">
        <v>340</v>
      </c>
      <c r="E369" s="31">
        <v>118.82</v>
      </c>
      <c r="F369" s="31">
        <v>40400</v>
      </c>
      <c r="G369" s="31">
        <v>47672</v>
      </c>
      <c r="H369" s="31">
        <v>7272</v>
      </c>
      <c r="I369" s="31" t="s">
        <v>8</v>
      </c>
    </row>
    <row r="370" spans="1:9" x14ac:dyDescent="0.25">
      <c r="A370" s="32">
        <v>45800</v>
      </c>
      <c r="B370" s="31" t="s">
        <v>42</v>
      </c>
      <c r="C370" s="31" t="s">
        <v>8</v>
      </c>
      <c r="D370" s="31">
        <v>210</v>
      </c>
      <c r="E370" s="31">
        <v>90</v>
      </c>
      <c r="F370" s="31">
        <v>18900</v>
      </c>
      <c r="G370" s="31">
        <v>22302</v>
      </c>
      <c r="H370" s="31">
        <v>3402</v>
      </c>
      <c r="I370" s="31" t="s">
        <v>8</v>
      </c>
    </row>
    <row r="371" spans="1:9" x14ac:dyDescent="0.25">
      <c r="A371" s="32">
        <v>45800</v>
      </c>
      <c r="B371" s="31" t="s">
        <v>95</v>
      </c>
      <c r="C371" s="31" t="s">
        <v>8</v>
      </c>
      <c r="D371" s="31">
        <v>220</v>
      </c>
      <c r="E371" s="31">
        <v>55</v>
      </c>
      <c r="F371" s="31">
        <v>12100</v>
      </c>
      <c r="G371" s="31">
        <v>14278</v>
      </c>
      <c r="H371" s="31">
        <v>2178</v>
      </c>
      <c r="I371" s="31" t="s">
        <v>8</v>
      </c>
    </row>
    <row r="372" spans="1:9" x14ac:dyDescent="0.25">
      <c r="A372" s="32">
        <v>45800</v>
      </c>
      <c r="B372" s="31" t="s">
        <v>98</v>
      </c>
      <c r="C372" s="31" t="s">
        <v>8</v>
      </c>
      <c r="D372" s="31">
        <v>35</v>
      </c>
      <c r="E372" s="31">
        <v>110</v>
      </c>
      <c r="F372" s="31">
        <v>3850</v>
      </c>
      <c r="G372" s="31">
        <v>4543</v>
      </c>
      <c r="H372" s="31">
        <v>693</v>
      </c>
      <c r="I372" s="31" t="s">
        <v>8</v>
      </c>
    </row>
    <row r="373" spans="1:9" x14ac:dyDescent="0.25">
      <c r="A373" s="32">
        <v>45800</v>
      </c>
      <c r="B373" s="31" t="s">
        <v>95</v>
      </c>
      <c r="C373" s="31" t="s">
        <v>8</v>
      </c>
      <c r="D373" s="31">
        <v>87</v>
      </c>
      <c r="E373" s="31">
        <v>85.98</v>
      </c>
      <c r="F373" s="31">
        <v>7480</v>
      </c>
      <c r="G373" s="31">
        <v>8826</v>
      </c>
      <c r="H373" s="31">
        <v>1346.3999999999999</v>
      </c>
      <c r="I373" s="31" t="s">
        <v>8</v>
      </c>
    </row>
    <row r="374" spans="1:9" x14ac:dyDescent="0.25">
      <c r="A374" s="32">
        <v>45800</v>
      </c>
      <c r="B374" s="31" t="s">
        <v>63</v>
      </c>
      <c r="C374" s="31" t="s">
        <v>8</v>
      </c>
      <c r="D374" s="31">
        <v>195</v>
      </c>
      <c r="E374" s="31">
        <v>253</v>
      </c>
      <c r="F374" s="31">
        <v>49335</v>
      </c>
      <c r="G374" s="31">
        <v>58215</v>
      </c>
      <c r="H374" s="31">
        <v>8880.2999999999993</v>
      </c>
      <c r="I374" s="31" t="s">
        <v>8</v>
      </c>
    </row>
    <row r="375" spans="1:9" x14ac:dyDescent="0.25">
      <c r="A375" s="32">
        <v>45800</v>
      </c>
      <c r="B375" s="31" t="s">
        <v>97</v>
      </c>
      <c r="C375" s="31" t="s">
        <v>8</v>
      </c>
      <c r="D375" s="31">
        <v>5</v>
      </c>
      <c r="E375" s="31">
        <v>160</v>
      </c>
      <c r="F375" s="31">
        <v>800</v>
      </c>
      <c r="G375" s="31">
        <v>944</v>
      </c>
      <c r="H375" s="31">
        <v>144</v>
      </c>
      <c r="I375" s="31" t="s">
        <v>8</v>
      </c>
    </row>
    <row r="376" spans="1:9" x14ac:dyDescent="0.25">
      <c r="A376" s="32">
        <v>45800</v>
      </c>
      <c r="B376" s="31" t="s">
        <v>94</v>
      </c>
      <c r="C376" s="31" t="s">
        <v>8</v>
      </c>
      <c r="D376" s="31">
        <v>50</v>
      </c>
      <c r="E376" s="31">
        <v>93</v>
      </c>
      <c r="F376" s="31">
        <v>4650</v>
      </c>
      <c r="G376" s="31">
        <v>5487</v>
      </c>
      <c r="H376" s="31">
        <v>837</v>
      </c>
      <c r="I376" s="31" t="s">
        <v>8</v>
      </c>
    </row>
    <row r="377" spans="1:9" x14ac:dyDescent="0.25">
      <c r="A377" s="32">
        <v>45800</v>
      </c>
      <c r="B377" s="31" t="s">
        <v>62</v>
      </c>
      <c r="C377" s="31" t="s">
        <v>8</v>
      </c>
      <c r="D377" s="31">
        <v>1</v>
      </c>
      <c r="E377" s="31">
        <v>195</v>
      </c>
      <c r="F377" s="31">
        <v>195</v>
      </c>
      <c r="G377" s="31">
        <v>230</v>
      </c>
      <c r="H377" s="31">
        <v>35.1</v>
      </c>
      <c r="I377" s="31" t="s">
        <v>8</v>
      </c>
    </row>
    <row r="378" spans="1:9" x14ac:dyDescent="0.25">
      <c r="A378" s="32">
        <v>45800</v>
      </c>
      <c r="B378" s="31" t="s">
        <v>94</v>
      </c>
      <c r="C378" s="31" t="s">
        <v>8</v>
      </c>
      <c r="D378" s="31">
        <v>100</v>
      </c>
      <c r="E378" s="31">
        <v>50</v>
      </c>
      <c r="F378" s="31">
        <v>5000</v>
      </c>
      <c r="G378" s="31">
        <v>5250</v>
      </c>
      <c r="H378" s="31">
        <v>900</v>
      </c>
      <c r="I378" s="31" t="s">
        <v>8</v>
      </c>
    </row>
    <row r="379" spans="1:9" x14ac:dyDescent="0.25">
      <c r="A379" s="32">
        <v>45800</v>
      </c>
      <c r="B379" s="31" t="s">
        <v>27</v>
      </c>
      <c r="C379" s="31" t="s">
        <v>8</v>
      </c>
      <c r="D379" s="31">
        <v>5</v>
      </c>
      <c r="E379" s="31">
        <v>120</v>
      </c>
      <c r="F379" s="31">
        <v>600</v>
      </c>
      <c r="G379" s="31">
        <v>708</v>
      </c>
      <c r="H379" s="31">
        <v>108</v>
      </c>
      <c r="I379" s="31" t="s">
        <v>8</v>
      </c>
    </row>
    <row r="380" spans="1:9" x14ac:dyDescent="0.25">
      <c r="A380" s="32">
        <v>45801</v>
      </c>
      <c r="B380" s="31" t="s">
        <v>94</v>
      </c>
      <c r="C380" s="31" t="s">
        <v>8</v>
      </c>
      <c r="D380" s="31">
        <v>60</v>
      </c>
      <c r="E380" s="31">
        <v>112.83</v>
      </c>
      <c r="F380" s="31">
        <v>6770</v>
      </c>
      <c r="G380" s="31">
        <v>7989</v>
      </c>
      <c r="H380" s="31">
        <v>1218.5999999999999</v>
      </c>
      <c r="I380" s="31" t="s">
        <v>8</v>
      </c>
    </row>
    <row r="381" spans="1:9" x14ac:dyDescent="0.25">
      <c r="A381" s="32">
        <v>45801</v>
      </c>
      <c r="B381" s="31" t="s">
        <v>102</v>
      </c>
      <c r="C381" s="31" t="s">
        <v>8</v>
      </c>
      <c r="D381" s="31">
        <v>30</v>
      </c>
      <c r="E381" s="31">
        <v>80</v>
      </c>
      <c r="F381" s="31">
        <v>2400</v>
      </c>
      <c r="G381" s="31">
        <v>2832</v>
      </c>
      <c r="H381" s="31">
        <v>432</v>
      </c>
      <c r="I381" s="31" t="s">
        <v>8</v>
      </c>
    </row>
    <row r="382" spans="1:9" x14ac:dyDescent="0.25">
      <c r="A382" s="32">
        <v>45801</v>
      </c>
      <c r="B382" s="31" t="s">
        <v>54</v>
      </c>
      <c r="C382" s="31" t="s">
        <v>8</v>
      </c>
      <c r="D382" s="31">
        <v>60</v>
      </c>
      <c r="E382" s="31">
        <v>175</v>
      </c>
      <c r="F382" s="31">
        <v>10500</v>
      </c>
      <c r="G382" s="31">
        <v>12390</v>
      </c>
      <c r="H382" s="31">
        <v>1890</v>
      </c>
      <c r="I382" s="31" t="s">
        <v>8</v>
      </c>
    </row>
    <row r="383" spans="1:9" x14ac:dyDescent="0.25">
      <c r="A383" s="32">
        <v>45801</v>
      </c>
      <c r="B383" s="31" t="s">
        <v>95</v>
      </c>
      <c r="C383" s="31" t="s">
        <v>8</v>
      </c>
      <c r="D383" s="31">
        <v>150</v>
      </c>
      <c r="E383" s="31">
        <v>163</v>
      </c>
      <c r="F383" s="31">
        <v>24450</v>
      </c>
      <c r="G383" s="31">
        <v>28851</v>
      </c>
      <c r="H383" s="31">
        <v>4401</v>
      </c>
      <c r="I383" s="31" t="s">
        <v>8</v>
      </c>
    </row>
    <row r="384" spans="1:9" x14ac:dyDescent="0.25">
      <c r="A384" s="32">
        <v>45801</v>
      </c>
      <c r="B384" s="31" t="s">
        <v>67</v>
      </c>
      <c r="C384" s="31" t="s">
        <v>8</v>
      </c>
      <c r="D384" s="31">
        <v>78</v>
      </c>
      <c r="E384" s="31">
        <v>125</v>
      </c>
      <c r="F384" s="31">
        <v>9750</v>
      </c>
      <c r="G384" s="31">
        <v>11505</v>
      </c>
      <c r="H384" s="31">
        <v>1755</v>
      </c>
      <c r="I384" s="31" t="s">
        <v>8</v>
      </c>
    </row>
    <row r="385" spans="1:9" x14ac:dyDescent="0.25">
      <c r="A385" s="32">
        <v>45801</v>
      </c>
      <c r="B385" s="31" t="s">
        <v>32</v>
      </c>
      <c r="C385" s="31" t="s">
        <v>8</v>
      </c>
      <c r="D385" s="31">
        <v>210</v>
      </c>
      <c r="E385" s="31">
        <v>78</v>
      </c>
      <c r="F385" s="31">
        <v>16380</v>
      </c>
      <c r="G385" s="31">
        <v>19328</v>
      </c>
      <c r="H385" s="31">
        <v>2948.4</v>
      </c>
      <c r="I385" s="31" t="s">
        <v>8</v>
      </c>
    </row>
    <row r="386" spans="1:9" x14ac:dyDescent="0.25">
      <c r="A386" s="32">
        <v>45801</v>
      </c>
      <c r="B386" s="31" t="s">
        <v>78</v>
      </c>
      <c r="C386" s="31" t="s">
        <v>8</v>
      </c>
      <c r="D386" s="31">
        <v>10</v>
      </c>
      <c r="E386" s="31">
        <v>235</v>
      </c>
      <c r="F386" s="31">
        <v>2350</v>
      </c>
      <c r="G386" s="31">
        <v>2773</v>
      </c>
      <c r="H386" s="31">
        <v>423</v>
      </c>
      <c r="I386" s="31" t="s">
        <v>8</v>
      </c>
    </row>
    <row r="387" spans="1:9" x14ac:dyDescent="0.25">
      <c r="A387" s="32">
        <v>45801</v>
      </c>
      <c r="B387" s="31" t="s">
        <v>56</v>
      </c>
      <c r="C387" s="31" t="s">
        <v>8</v>
      </c>
      <c r="D387" s="31">
        <v>26</v>
      </c>
      <c r="E387" s="31">
        <v>130</v>
      </c>
      <c r="F387" s="31">
        <v>3380</v>
      </c>
      <c r="G387" s="31">
        <v>3988</v>
      </c>
      <c r="H387" s="31">
        <v>608.4</v>
      </c>
      <c r="I387" s="31" t="s">
        <v>8</v>
      </c>
    </row>
    <row r="388" spans="1:9" x14ac:dyDescent="0.25">
      <c r="A388" s="32">
        <v>45802</v>
      </c>
      <c r="B388" s="31" t="s">
        <v>98</v>
      </c>
      <c r="C388" s="31" t="s">
        <v>8</v>
      </c>
      <c r="D388" s="31">
        <v>20</v>
      </c>
      <c r="E388" s="31">
        <v>170</v>
      </c>
      <c r="F388" s="31">
        <v>3400</v>
      </c>
      <c r="G388" s="31">
        <v>4012</v>
      </c>
      <c r="H388" s="31">
        <v>612</v>
      </c>
      <c r="I388" s="31" t="s">
        <v>8</v>
      </c>
    </row>
    <row r="389" spans="1:9" x14ac:dyDescent="0.25">
      <c r="A389" s="32">
        <v>45802</v>
      </c>
      <c r="B389" s="31" t="s">
        <v>96</v>
      </c>
      <c r="C389" s="31" t="s">
        <v>8</v>
      </c>
      <c r="D389" s="31">
        <v>87</v>
      </c>
      <c r="E389" s="31">
        <v>94.71</v>
      </c>
      <c r="F389" s="31">
        <v>8240</v>
      </c>
      <c r="G389" s="31">
        <v>9723</v>
      </c>
      <c r="H389" s="31">
        <v>1483.2</v>
      </c>
      <c r="I389" s="31" t="s">
        <v>8</v>
      </c>
    </row>
    <row r="390" spans="1:9" x14ac:dyDescent="0.25">
      <c r="A390" s="32">
        <v>45802</v>
      </c>
      <c r="B390" s="31" t="s">
        <v>98</v>
      </c>
      <c r="C390" s="31" t="s">
        <v>8</v>
      </c>
      <c r="D390" s="31">
        <v>5</v>
      </c>
      <c r="E390" s="31">
        <v>170</v>
      </c>
      <c r="F390" s="31">
        <v>850</v>
      </c>
      <c r="G390" s="31">
        <v>1003</v>
      </c>
      <c r="H390" s="31">
        <v>153</v>
      </c>
      <c r="I390" s="31" t="s">
        <v>8</v>
      </c>
    </row>
    <row r="391" spans="1:9" x14ac:dyDescent="0.25">
      <c r="A391" s="32">
        <v>45802</v>
      </c>
      <c r="B391" s="31" t="s">
        <v>94</v>
      </c>
      <c r="C391" s="31" t="s">
        <v>8</v>
      </c>
      <c r="D391" s="31">
        <v>420</v>
      </c>
      <c r="E391" s="31">
        <v>115</v>
      </c>
      <c r="F391" s="31">
        <v>48300</v>
      </c>
      <c r="G391" s="31">
        <v>56994</v>
      </c>
      <c r="H391" s="31">
        <v>8694</v>
      </c>
      <c r="I391" s="31" t="s">
        <v>8</v>
      </c>
    </row>
    <row r="392" spans="1:9" x14ac:dyDescent="0.25">
      <c r="A392" s="32">
        <v>45802</v>
      </c>
      <c r="B392" s="31" t="s">
        <v>91</v>
      </c>
      <c r="C392" s="31" t="s">
        <v>8</v>
      </c>
      <c r="D392" s="31">
        <v>26</v>
      </c>
      <c r="E392" s="31">
        <v>112</v>
      </c>
      <c r="F392" s="31">
        <v>2912</v>
      </c>
      <c r="G392" s="31">
        <v>3436</v>
      </c>
      <c r="H392" s="31">
        <v>524.16</v>
      </c>
      <c r="I392" s="31" t="s">
        <v>8</v>
      </c>
    </row>
    <row r="393" spans="1:9" x14ac:dyDescent="0.25">
      <c r="A393" s="32">
        <v>45803</v>
      </c>
      <c r="B393" s="31" t="s">
        <v>96</v>
      </c>
      <c r="C393" s="31" t="s">
        <v>8</v>
      </c>
      <c r="D393" s="31">
        <v>420</v>
      </c>
      <c r="E393" s="31">
        <v>58.5</v>
      </c>
      <c r="F393" s="31">
        <v>24570</v>
      </c>
      <c r="G393" s="31">
        <v>28993</v>
      </c>
      <c r="H393" s="31">
        <v>4422.5999999999995</v>
      </c>
      <c r="I393" s="31" t="s">
        <v>8</v>
      </c>
    </row>
    <row r="394" spans="1:9" x14ac:dyDescent="0.25">
      <c r="A394" s="32">
        <v>45803</v>
      </c>
      <c r="B394" s="31" t="s">
        <v>23</v>
      </c>
      <c r="C394" s="31" t="s">
        <v>8</v>
      </c>
      <c r="D394" s="31">
        <v>5</v>
      </c>
      <c r="E394" s="31">
        <v>90</v>
      </c>
      <c r="F394" s="31">
        <v>450</v>
      </c>
      <c r="G394" s="31">
        <v>531</v>
      </c>
      <c r="H394" s="31">
        <v>81</v>
      </c>
      <c r="I394" s="31" t="s">
        <v>8</v>
      </c>
    </row>
    <row r="395" spans="1:9" x14ac:dyDescent="0.25">
      <c r="A395" s="32">
        <v>45803</v>
      </c>
      <c r="B395" s="31" t="s">
        <v>98</v>
      </c>
      <c r="C395" s="31" t="s">
        <v>8</v>
      </c>
      <c r="D395" s="31">
        <v>5</v>
      </c>
      <c r="E395" s="31">
        <v>160</v>
      </c>
      <c r="F395" s="31">
        <v>800</v>
      </c>
      <c r="G395" s="31">
        <v>944</v>
      </c>
      <c r="H395" s="31">
        <v>144</v>
      </c>
      <c r="I395" s="31" t="s">
        <v>8</v>
      </c>
    </row>
    <row r="396" spans="1:9" x14ac:dyDescent="0.25">
      <c r="A396" s="32">
        <v>45803</v>
      </c>
      <c r="B396" s="31" t="s">
        <v>56</v>
      </c>
      <c r="C396" s="31" t="s">
        <v>8</v>
      </c>
      <c r="D396" s="31">
        <v>35</v>
      </c>
      <c r="E396" s="31">
        <v>135</v>
      </c>
      <c r="F396" s="31">
        <v>4725</v>
      </c>
      <c r="G396" s="31">
        <v>5576</v>
      </c>
      <c r="H396" s="31">
        <v>850.5</v>
      </c>
      <c r="I396" s="31" t="s">
        <v>8</v>
      </c>
    </row>
    <row r="397" spans="1:9" x14ac:dyDescent="0.25">
      <c r="A397" s="32">
        <v>45803</v>
      </c>
      <c r="B397" s="31" t="s">
        <v>98</v>
      </c>
      <c r="C397" s="31" t="s">
        <v>8</v>
      </c>
      <c r="D397" s="31">
        <v>26</v>
      </c>
      <c r="E397" s="31">
        <v>107</v>
      </c>
      <c r="F397" s="31">
        <v>2782</v>
      </c>
      <c r="G397" s="31">
        <v>3283</v>
      </c>
      <c r="H397" s="31">
        <v>500.76</v>
      </c>
      <c r="I397" s="31" t="s">
        <v>8</v>
      </c>
    </row>
    <row r="398" spans="1:9" x14ac:dyDescent="0.25">
      <c r="A398" s="32">
        <v>45803</v>
      </c>
      <c r="B398" s="31" t="s">
        <v>98</v>
      </c>
      <c r="C398" s="31" t="s">
        <v>8</v>
      </c>
      <c r="D398" s="31">
        <v>10</v>
      </c>
      <c r="E398" s="31">
        <v>110</v>
      </c>
      <c r="F398" s="31">
        <v>1100</v>
      </c>
      <c r="G398" s="31">
        <v>1298</v>
      </c>
      <c r="H398" s="31">
        <v>198</v>
      </c>
      <c r="I398" s="31" t="s">
        <v>8</v>
      </c>
    </row>
    <row r="399" spans="1:9" x14ac:dyDescent="0.25">
      <c r="A399" s="32">
        <v>45803</v>
      </c>
      <c r="B399" s="31" t="s">
        <v>102</v>
      </c>
      <c r="C399" s="31" t="s">
        <v>8</v>
      </c>
      <c r="D399" s="31">
        <v>2</v>
      </c>
      <c r="E399" s="31">
        <v>482.25</v>
      </c>
      <c r="F399" s="31">
        <v>964.5</v>
      </c>
      <c r="G399" s="31">
        <v>1138</v>
      </c>
      <c r="H399" s="31">
        <v>173.60999999999999</v>
      </c>
      <c r="I399" s="31" t="s">
        <v>8</v>
      </c>
    </row>
    <row r="400" spans="1:9" x14ac:dyDescent="0.25">
      <c r="A400" s="32">
        <v>45803</v>
      </c>
      <c r="B400" s="31" t="s">
        <v>72</v>
      </c>
      <c r="C400" s="31" t="s">
        <v>8</v>
      </c>
      <c r="D400" s="31">
        <v>230</v>
      </c>
      <c r="E400" s="31">
        <v>149.26</v>
      </c>
      <c r="F400" s="31">
        <v>34330</v>
      </c>
      <c r="G400" s="31">
        <v>40509</v>
      </c>
      <c r="H400" s="31">
        <v>6179.4</v>
      </c>
      <c r="I400" s="31" t="s">
        <v>8</v>
      </c>
    </row>
    <row r="401" spans="1:9" x14ac:dyDescent="0.25">
      <c r="A401" s="32">
        <v>45804</v>
      </c>
      <c r="B401" s="31" t="s">
        <v>57</v>
      </c>
      <c r="C401" s="31" t="s">
        <v>8</v>
      </c>
      <c r="D401" s="31">
        <v>35</v>
      </c>
      <c r="E401" s="31">
        <v>85</v>
      </c>
      <c r="F401" s="31">
        <v>2975</v>
      </c>
      <c r="G401" s="31">
        <v>3511</v>
      </c>
      <c r="H401" s="31">
        <v>535.5</v>
      </c>
      <c r="I401" s="31" t="s">
        <v>8</v>
      </c>
    </row>
    <row r="402" spans="1:9" x14ac:dyDescent="0.25">
      <c r="A402" s="32">
        <v>45804</v>
      </c>
      <c r="B402" s="31" t="s">
        <v>94</v>
      </c>
      <c r="C402" s="31" t="s">
        <v>8</v>
      </c>
      <c r="D402" s="31">
        <v>630</v>
      </c>
      <c r="E402" s="31">
        <v>75</v>
      </c>
      <c r="F402" s="31">
        <v>47250</v>
      </c>
      <c r="G402" s="31">
        <v>55755</v>
      </c>
      <c r="H402" s="31">
        <v>8505</v>
      </c>
      <c r="I402" s="31" t="s">
        <v>8</v>
      </c>
    </row>
    <row r="403" spans="1:9" x14ac:dyDescent="0.25">
      <c r="A403" s="32">
        <v>45804</v>
      </c>
      <c r="B403" s="31" t="s">
        <v>98</v>
      </c>
      <c r="C403" s="31" t="s">
        <v>8</v>
      </c>
      <c r="D403" s="31">
        <v>420</v>
      </c>
      <c r="E403" s="31">
        <v>130</v>
      </c>
      <c r="F403" s="31">
        <v>54600</v>
      </c>
      <c r="G403" s="31">
        <v>64428</v>
      </c>
      <c r="H403" s="31">
        <v>9828</v>
      </c>
      <c r="I403" s="31" t="s">
        <v>8</v>
      </c>
    </row>
    <row r="404" spans="1:9" x14ac:dyDescent="0.25">
      <c r="A404" s="32">
        <v>45804</v>
      </c>
      <c r="B404" s="31" t="s">
        <v>94</v>
      </c>
      <c r="C404" s="31" t="s">
        <v>8</v>
      </c>
      <c r="D404" s="31">
        <v>26</v>
      </c>
      <c r="E404" s="31">
        <v>105</v>
      </c>
      <c r="F404" s="31">
        <v>2730</v>
      </c>
      <c r="G404" s="31">
        <v>3221</v>
      </c>
      <c r="H404" s="31">
        <v>491.4</v>
      </c>
      <c r="I404" s="31" t="s">
        <v>8</v>
      </c>
    </row>
    <row r="405" spans="1:9" x14ac:dyDescent="0.25">
      <c r="A405" s="32">
        <v>45804</v>
      </c>
      <c r="B405" s="31" t="s">
        <v>94</v>
      </c>
      <c r="C405" s="31" t="s">
        <v>8</v>
      </c>
      <c r="D405" s="31">
        <v>25</v>
      </c>
      <c r="E405" s="31">
        <v>98</v>
      </c>
      <c r="F405" s="31">
        <v>2450</v>
      </c>
      <c r="G405" s="31">
        <v>2891</v>
      </c>
      <c r="H405" s="31">
        <v>441</v>
      </c>
      <c r="I405" s="31" t="s">
        <v>8</v>
      </c>
    </row>
    <row r="406" spans="1:9" x14ac:dyDescent="0.25">
      <c r="A406" s="32">
        <v>45804</v>
      </c>
      <c r="B406" s="31" t="s">
        <v>98</v>
      </c>
      <c r="C406" s="31" t="s">
        <v>8</v>
      </c>
      <c r="D406" s="31">
        <v>40</v>
      </c>
      <c r="E406" s="31">
        <v>100</v>
      </c>
      <c r="F406" s="31">
        <v>4000</v>
      </c>
      <c r="G406" s="31">
        <v>4720</v>
      </c>
      <c r="H406" s="31">
        <v>720</v>
      </c>
      <c r="I406" s="31" t="s">
        <v>8</v>
      </c>
    </row>
    <row r="407" spans="1:9" x14ac:dyDescent="0.25">
      <c r="A407" s="32">
        <v>45805</v>
      </c>
      <c r="B407" s="31" t="s">
        <v>93</v>
      </c>
      <c r="C407" s="31" t="s">
        <v>8</v>
      </c>
      <c r="D407" s="31">
        <v>10</v>
      </c>
      <c r="E407" s="31">
        <v>165</v>
      </c>
      <c r="F407" s="31">
        <v>1650</v>
      </c>
      <c r="G407" s="31">
        <v>1947</v>
      </c>
      <c r="H407" s="31">
        <v>297</v>
      </c>
      <c r="I407" s="31" t="s">
        <v>8</v>
      </c>
    </row>
    <row r="408" spans="1:9" x14ac:dyDescent="0.25">
      <c r="A408" s="32">
        <v>45805</v>
      </c>
      <c r="B408" s="31" t="s">
        <v>67</v>
      </c>
      <c r="C408" s="31" t="s">
        <v>8</v>
      </c>
      <c r="D408" s="31">
        <v>78</v>
      </c>
      <c r="E408" s="31">
        <v>125</v>
      </c>
      <c r="F408" s="31">
        <v>9750</v>
      </c>
      <c r="G408" s="31">
        <v>11505</v>
      </c>
      <c r="H408" s="31">
        <v>1755</v>
      </c>
      <c r="I408" s="31" t="s">
        <v>8</v>
      </c>
    </row>
    <row r="409" spans="1:9" x14ac:dyDescent="0.25">
      <c r="A409" s="32">
        <v>45805</v>
      </c>
      <c r="B409" s="31" t="s">
        <v>95</v>
      </c>
      <c r="C409" s="31" t="s">
        <v>8</v>
      </c>
      <c r="D409" s="31">
        <v>10</v>
      </c>
      <c r="E409" s="31">
        <v>130</v>
      </c>
      <c r="F409" s="31">
        <v>1300</v>
      </c>
      <c r="G409" s="31">
        <v>1534</v>
      </c>
      <c r="H409" s="31">
        <v>234</v>
      </c>
      <c r="I409" s="31" t="s">
        <v>8</v>
      </c>
    </row>
    <row r="410" spans="1:9" x14ac:dyDescent="0.25">
      <c r="A410" s="32">
        <v>45805</v>
      </c>
      <c r="B410" s="31" t="s">
        <v>33</v>
      </c>
      <c r="C410" s="31" t="s">
        <v>8</v>
      </c>
      <c r="D410" s="31">
        <v>78</v>
      </c>
      <c r="E410" s="31">
        <v>112.67</v>
      </c>
      <c r="F410" s="31">
        <v>8788</v>
      </c>
      <c r="G410" s="31">
        <v>10370</v>
      </c>
      <c r="H410" s="31">
        <v>1581.84</v>
      </c>
      <c r="I410" s="31" t="s">
        <v>8</v>
      </c>
    </row>
    <row r="411" spans="1:9" x14ac:dyDescent="0.25">
      <c r="A411" s="32">
        <v>45805</v>
      </c>
      <c r="B411" s="31" t="s">
        <v>50</v>
      </c>
      <c r="C411" s="31" t="s">
        <v>8</v>
      </c>
      <c r="D411" s="31">
        <v>36</v>
      </c>
      <c r="E411" s="31">
        <v>116.39</v>
      </c>
      <c r="F411" s="31">
        <v>4190</v>
      </c>
      <c r="G411" s="31">
        <v>4944</v>
      </c>
      <c r="H411" s="31">
        <v>754.19999999999993</v>
      </c>
      <c r="I411" s="31" t="s">
        <v>8</v>
      </c>
    </row>
    <row r="412" spans="1:9" x14ac:dyDescent="0.25">
      <c r="A412" s="32">
        <v>45805</v>
      </c>
      <c r="B412" s="31" t="s">
        <v>98</v>
      </c>
      <c r="C412" s="31" t="s">
        <v>8</v>
      </c>
      <c r="D412" s="31">
        <v>210</v>
      </c>
      <c r="E412" s="31">
        <v>100</v>
      </c>
      <c r="F412" s="31">
        <v>21000</v>
      </c>
      <c r="G412" s="31">
        <v>24780</v>
      </c>
      <c r="H412" s="31">
        <v>3780</v>
      </c>
      <c r="I412" s="31" t="s">
        <v>8</v>
      </c>
    </row>
    <row r="413" spans="1:9" x14ac:dyDescent="0.25">
      <c r="A413" s="32">
        <v>45805</v>
      </c>
      <c r="B413" s="31" t="s">
        <v>96</v>
      </c>
      <c r="C413" s="31" t="s">
        <v>8</v>
      </c>
      <c r="D413" s="31">
        <v>280</v>
      </c>
      <c r="E413" s="31">
        <v>86.25</v>
      </c>
      <c r="F413" s="31">
        <v>24150</v>
      </c>
      <c r="G413" s="31">
        <v>28497</v>
      </c>
      <c r="H413" s="31">
        <v>4347</v>
      </c>
      <c r="I413" s="31" t="s">
        <v>8</v>
      </c>
    </row>
    <row r="414" spans="1:9" x14ac:dyDescent="0.25">
      <c r="A414" s="32">
        <v>45807</v>
      </c>
      <c r="B414" s="31" t="s">
        <v>103</v>
      </c>
      <c r="C414" s="31" t="s">
        <v>8</v>
      </c>
      <c r="D414" s="31">
        <v>26</v>
      </c>
      <c r="E414" s="31">
        <v>150</v>
      </c>
      <c r="F414" s="31">
        <v>3900</v>
      </c>
      <c r="G414" s="31">
        <v>4602</v>
      </c>
      <c r="H414" s="31">
        <v>702</v>
      </c>
      <c r="I414" s="31" t="s">
        <v>8</v>
      </c>
    </row>
    <row r="415" spans="1:9" x14ac:dyDescent="0.25">
      <c r="A415" s="32">
        <v>45807</v>
      </c>
      <c r="B415" s="31" t="s">
        <v>94</v>
      </c>
      <c r="C415" s="31" t="s">
        <v>8</v>
      </c>
      <c r="D415" s="31">
        <v>106</v>
      </c>
      <c r="E415" s="31">
        <v>160.66</v>
      </c>
      <c r="F415" s="31">
        <v>17030</v>
      </c>
      <c r="G415" s="31">
        <v>20095</v>
      </c>
      <c r="H415" s="31">
        <v>3065.4</v>
      </c>
      <c r="I415" s="31" t="s">
        <v>8</v>
      </c>
    </row>
    <row r="416" spans="1:9" x14ac:dyDescent="0.25">
      <c r="A416" s="32">
        <v>45807</v>
      </c>
      <c r="B416" s="31" t="s">
        <v>93</v>
      </c>
      <c r="C416" s="31" t="s">
        <v>8</v>
      </c>
      <c r="D416" s="31">
        <v>156</v>
      </c>
      <c r="E416" s="31">
        <v>123.33</v>
      </c>
      <c r="F416" s="31">
        <v>19240</v>
      </c>
      <c r="G416" s="31">
        <v>22703</v>
      </c>
      <c r="H416" s="31">
        <v>3463.2</v>
      </c>
      <c r="I416" s="31" t="s">
        <v>8</v>
      </c>
    </row>
    <row r="417" spans="1:9" x14ac:dyDescent="0.25">
      <c r="A417" s="32">
        <v>45807</v>
      </c>
      <c r="B417" s="31" t="s">
        <v>98</v>
      </c>
      <c r="C417" s="31" t="s">
        <v>8</v>
      </c>
      <c r="D417" s="31">
        <v>31</v>
      </c>
      <c r="E417" s="31">
        <v>123.39</v>
      </c>
      <c r="F417" s="31">
        <v>3825</v>
      </c>
      <c r="G417" s="31">
        <v>4514</v>
      </c>
      <c r="H417" s="31">
        <v>688.5</v>
      </c>
      <c r="I417" s="31" t="s">
        <v>8</v>
      </c>
    </row>
    <row r="418" spans="1:9" x14ac:dyDescent="0.25">
      <c r="A418" s="32">
        <v>45807</v>
      </c>
      <c r="B418" s="31" t="s">
        <v>96</v>
      </c>
      <c r="C418" s="31" t="s">
        <v>8</v>
      </c>
      <c r="D418" s="31">
        <v>26</v>
      </c>
      <c r="E418" s="31">
        <v>120</v>
      </c>
      <c r="F418" s="31">
        <v>3120</v>
      </c>
      <c r="G418" s="31">
        <v>3682</v>
      </c>
      <c r="H418" s="31">
        <v>561.6</v>
      </c>
      <c r="I418" s="31" t="s">
        <v>8</v>
      </c>
    </row>
    <row r="419" spans="1:9" x14ac:dyDescent="0.25">
      <c r="A419" s="32">
        <v>45807</v>
      </c>
      <c r="B419" s="31" t="s">
        <v>90</v>
      </c>
      <c r="C419" s="31" t="s">
        <v>8</v>
      </c>
      <c r="D419" s="31">
        <v>5</v>
      </c>
      <c r="E419" s="31">
        <v>120</v>
      </c>
      <c r="F419" s="31">
        <v>600</v>
      </c>
      <c r="G419" s="31">
        <v>708</v>
      </c>
      <c r="H419" s="31">
        <v>108</v>
      </c>
      <c r="I419" s="31" t="s">
        <v>8</v>
      </c>
    </row>
    <row r="420" spans="1:9" x14ac:dyDescent="0.25">
      <c r="A420" s="32">
        <v>45807</v>
      </c>
      <c r="B420" s="31" t="s">
        <v>53</v>
      </c>
      <c r="C420" s="31" t="s">
        <v>8</v>
      </c>
      <c r="D420" s="31">
        <v>40</v>
      </c>
      <c r="E420" s="31">
        <v>335</v>
      </c>
      <c r="F420" s="31">
        <v>13400</v>
      </c>
      <c r="G420" s="31">
        <v>15812</v>
      </c>
      <c r="H420" s="31">
        <v>2412</v>
      </c>
      <c r="I420" s="31" t="s">
        <v>8</v>
      </c>
    </row>
    <row r="421" spans="1:9" x14ac:dyDescent="0.25">
      <c r="A421" s="32">
        <v>45807</v>
      </c>
      <c r="B421" s="31" t="s">
        <v>63</v>
      </c>
      <c r="C421" s="31" t="s">
        <v>8</v>
      </c>
      <c r="D421" s="31">
        <v>144</v>
      </c>
      <c r="E421" s="31">
        <v>4.8</v>
      </c>
      <c r="F421" s="31">
        <v>691.2</v>
      </c>
      <c r="G421" s="31">
        <v>816</v>
      </c>
      <c r="H421" s="31">
        <v>124.416</v>
      </c>
      <c r="I421" s="31" t="s">
        <v>8</v>
      </c>
    </row>
    <row r="422" spans="1:9" x14ac:dyDescent="0.25">
      <c r="A422" s="32">
        <v>45807</v>
      </c>
      <c r="B422" s="31" t="s">
        <v>63</v>
      </c>
      <c r="C422" s="31" t="s">
        <v>8</v>
      </c>
      <c r="D422" s="31">
        <v>288</v>
      </c>
      <c r="E422" s="31">
        <v>4.8</v>
      </c>
      <c r="F422" s="31">
        <v>1382.4</v>
      </c>
      <c r="G422" s="31">
        <v>1631</v>
      </c>
      <c r="H422" s="31">
        <v>248.83199999999999</v>
      </c>
      <c r="I422" s="31" t="s">
        <v>8</v>
      </c>
    </row>
    <row r="423" spans="1:9" x14ac:dyDescent="0.25">
      <c r="A423" s="32">
        <v>45807</v>
      </c>
      <c r="B423" s="31" t="s">
        <v>91</v>
      </c>
      <c r="C423" s="31" t="s">
        <v>8</v>
      </c>
      <c r="D423" s="31">
        <v>5</v>
      </c>
      <c r="E423" s="31">
        <v>160</v>
      </c>
      <c r="F423" s="31">
        <v>800</v>
      </c>
      <c r="G423" s="31">
        <v>944</v>
      </c>
      <c r="H423" s="31">
        <v>144</v>
      </c>
      <c r="I423" s="31" t="s">
        <v>8</v>
      </c>
    </row>
    <row r="424" spans="1:9" x14ac:dyDescent="0.25">
      <c r="A424" s="32">
        <v>45807</v>
      </c>
      <c r="B424" s="31" t="s">
        <v>34</v>
      </c>
      <c r="C424" s="31" t="s">
        <v>8</v>
      </c>
      <c r="D424" s="31">
        <v>26</v>
      </c>
      <c r="E424" s="31">
        <v>202</v>
      </c>
      <c r="F424" s="31">
        <v>5252</v>
      </c>
      <c r="G424" s="31">
        <v>6197</v>
      </c>
      <c r="H424" s="31">
        <v>945.36</v>
      </c>
      <c r="I424" s="31" t="s">
        <v>8</v>
      </c>
    </row>
    <row r="425" spans="1:9" x14ac:dyDescent="0.25">
      <c r="A425" s="32">
        <v>45807</v>
      </c>
      <c r="B425" s="31" t="s">
        <v>96</v>
      </c>
      <c r="C425" s="31" t="s">
        <v>8</v>
      </c>
      <c r="D425" s="31">
        <v>70</v>
      </c>
      <c r="E425" s="31">
        <v>62</v>
      </c>
      <c r="F425" s="31">
        <v>4340</v>
      </c>
      <c r="G425" s="31">
        <v>5121</v>
      </c>
      <c r="H425" s="31">
        <v>781.19999999999993</v>
      </c>
      <c r="I425" s="31" t="s">
        <v>8</v>
      </c>
    </row>
    <row r="426" spans="1:9" x14ac:dyDescent="0.25">
      <c r="A426" s="32">
        <v>45807</v>
      </c>
      <c r="B426" s="31" t="s">
        <v>35</v>
      </c>
      <c r="C426" s="31" t="s">
        <v>8</v>
      </c>
      <c r="D426" s="31">
        <v>26</v>
      </c>
      <c r="E426" s="31">
        <v>115</v>
      </c>
      <c r="F426" s="31">
        <v>19690</v>
      </c>
      <c r="G426" s="31">
        <v>23234</v>
      </c>
      <c r="H426" s="31">
        <v>3544.2</v>
      </c>
      <c r="I426" s="31" t="s">
        <v>8</v>
      </c>
    </row>
    <row r="427" spans="1:9" x14ac:dyDescent="0.25">
      <c r="A427" s="32">
        <v>45808</v>
      </c>
      <c r="B427" s="31" t="s">
        <v>43</v>
      </c>
      <c r="C427" s="31" t="s">
        <v>8</v>
      </c>
      <c r="D427" s="31">
        <v>78</v>
      </c>
      <c r="E427" s="31">
        <v>116.67</v>
      </c>
      <c r="F427" s="31">
        <v>9100</v>
      </c>
      <c r="G427" s="31">
        <v>10738</v>
      </c>
      <c r="H427" s="31">
        <v>1638</v>
      </c>
      <c r="I427" s="31" t="s">
        <v>8</v>
      </c>
    </row>
    <row r="428" spans="1:9" x14ac:dyDescent="0.25">
      <c r="A428" s="32">
        <v>45808</v>
      </c>
      <c r="B428" s="31" t="s">
        <v>98</v>
      </c>
      <c r="C428" s="31" t="s">
        <v>8</v>
      </c>
      <c r="D428" s="31">
        <v>26</v>
      </c>
      <c r="E428" s="31">
        <v>150</v>
      </c>
      <c r="F428" s="31">
        <v>3900</v>
      </c>
      <c r="G428" s="31">
        <v>4602</v>
      </c>
      <c r="H428" s="31">
        <v>702</v>
      </c>
      <c r="I428" s="31" t="s">
        <v>8</v>
      </c>
    </row>
    <row r="429" spans="1:9" x14ac:dyDescent="0.25">
      <c r="A429" s="32">
        <v>45808</v>
      </c>
      <c r="B429" s="31" t="s">
        <v>98</v>
      </c>
      <c r="C429" s="31" t="s">
        <v>8</v>
      </c>
      <c r="D429" s="31">
        <v>208</v>
      </c>
      <c r="E429" s="31">
        <v>115</v>
      </c>
      <c r="F429" s="31">
        <v>23920</v>
      </c>
      <c r="G429" s="31">
        <v>28226</v>
      </c>
      <c r="H429" s="31">
        <v>4305.5999999999995</v>
      </c>
      <c r="I429" s="31" t="s">
        <v>8</v>
      </c>
    </row>
    <row r="430" spans="1:9" x14ac:dyDescent="0.25">
      <c r="A430" s="32">
        <v>45808</v>
      </c>
      <c r="B430" s="31" t="s">
        <v>102</v>
      </c>
      <c r="C430" s="31" t="s">
        <v>8</v>
      </c>
      <c r="D430" s="31">
        <v>210</v>
      </c>
      <c r="E430" s="31">
        <v>80</v>
      </c>
      <c r="F430" s="31">
        <v>16800</v>
      </c>
      <c r="G430" s="31">
        <v>19824</v>
      </c>
      <c r="H430" s="31">
        <v>3024</v>
      </c>
      <c r="I430" s="31" t="s">
        <v>8</v>
      </c>
    </row>
    <row r="431" spans="1:9" x14ac:dyDescent="0.25">
      <c r="A431" s="32">
        <v>45808</v>
      </c>
      <c r="B431" s="31" t="s">
        <v>94</v>
      </c>
      <c r="C431" s="31" t="s">
        <v>8</v>
      </c>
      <c r="D431" s="31">
        <v>25</v>
      </c>
      <c r="E431" s="31">
        <v>70</v>
      </c>
      <c r="F431" s="31">
        <v>1750</v>
      </c>
      <c r="G431" s="31">
        <v>2065</v>
      </c>
      <c r="H431" s="31">
        <v>315</v>
      </c>
      <c r="I431" s="31" t="s">
        <v>8</v>
      </c>
    </row>
    <row r="432" spans="1:9" x14ac:dyDescent="0.25">
      <c r="A432" s="32">
        <v>45808</v>
      </c>
      <c r="B432" s="31" t="s">
        <v>94</v>
      </c>
      <c r="C432" s="31" t="s">
        <v>8</v>
      </c>
      <c r="D432" s="31">
        <v>45</v>
      </c>
      <c r="E432" s="31">
        <v>83</v>
      </c>
      <c r="F432" s="31">
        <v>3735</v>
      </c>
      <c r="G432" s="31">
        <v>4407</v>
      </c>
      <c r="H432" s="31">
        <v>672.3</v>
      </c>
      <c r="I432" s="31" t="s">
        <v>8</v>
      </c>
    </row>
    <row r="433" spans="1:9" x14ac:dyDescent="0.25">
      <c r="A433" s="32">
        <v>45809</v>
      </c>
      <c r="B433" s="31" t="s">
        <v>96</v>
      </c>
      <c r="C433" s="31" t="s">
        <v>8</v>
      </c>
      <c r="D433" s="31">
        <v>420</v>
      </c>
      <c r="E433" s="31">
        <v>55</v>
      </c>
      <c r="F433" s="31">
        <v>23100</v>
      </c>
      <c r="G433" s="31">
        <v>27258</v>
      </c>
      <c r="H433" s="31">
        <v>4158</v>
      </c>
      <c r="I433" s="31" t="s">
        <v>8</v>
      </c>
    </row>
    <row r="434" spans="1:9" x14ac:dyDescent="0.25">
      <c r="A434" s="32">
        <v>45809</v>
      </c>
      <c r="B434" s="31" t="s">
        <v>95</v>
      </c>
      <c r="C434" s="31" t="s">
        <v>8</v>
      </c>
      <c r="D434" s="31">
        <v>20</v>
      </c>
      <c r="E434" s="31">
        <v>145</v>
      </c>
      <c r="F434" s="31">
        <v>2900</v>
      </c>
      <c r="G434" s="31">
        <v>3422</v>
      </c>
      <c r="H434" s="31">
        <v>522</v>
      </c>
      <c r="I434" s="31" t="s">
        <v>8</v>
      </c>
    </row>
    <row r="435" spans="1:9" x14ac:dyDescent="0.25">
      <c r="A435" s="32">
        <v>45809</v>
      </c>
      <c r="B435" s="31" t="s">
        <v>51</v>
      </c>
      <c r="C435" s="31" t="s">
        <v>8</v>
      </c>
      <c r="D435" s="31">
        <v>83</v>
      </c>
      <c r="E435" s="31">
        <v>117.11</v>
      </c>
      <c r="F435" s="31">
        <v>9720</v>
      </c>
      <c r="G435" s="31">
        <v>11470</v>
      </c>
      <c r="H435" s="31">
        <v>1749.6</v>
      </c>
      <c r="I435" s="31" t="s">
        <v>8</v>
      </c>
    </row>
    <row r="436" spans="1:9" x14ac:dyDescent="0.25">
      <c r="A436" s="32">
        <v>45809</v>
      </c>
      <c r="B436" s="31" t="s">
        <v>93</v>
      </c>
      <c r="C436" s="31" t="s">
        <v>8</v>
      </c>
      <c r="D436" s="31">
        <v>10</v>
      </c>
      <c r="E436" s="31">
        <v>60</v>
      </c>
      <c r="F436" s="31">
        <v>600</v>
      </c>
      <c r="G436" s="31">
        <v>630</v>
      </c>
      <c r="H436" s="31">
        <v>108</v>
      </c>
      <c r="I436" s="31" t="s">
        <v>8</v>
      </c>
    </row>
    <row r="437" spans="1:9" x14ac:dyDescent="0.25">
      <c r="A437" s="32">
        <v>45809</v>
      </c>
      <c r="B437" s="31" t="s">
        <v>95</v>
      </c>
      <c r="C437" s="31" t="s">
        <v>8</v>
      </c>
      <c r="D437" s="31">
        <v>78</v>
      </c>
      <c r="E437" s="31">
        <v>97.67</v>
      </c>
      <c r="F437" s="31">
        <v>7618</v>
      </c>
      <c r="G437" s="31">
        <v>8989</v>
      </c>
      <c r="H437" s="31">
        <v>1371.24</v>
      </c>
      <c r="I437" s="31" t="s">
        <v>8</v>
      </c>
    </row>
    <row r="438" spans="1:9" x14ac:dyDescent="0.25">
      <c r="A438" s="32">
        <v>45809</v>
      </c>
      <c r="B438" s="31" t="s">
        <v>98</v>
      </c>
      <c r="C438" s="31" t="s">
        <v>8</v>
      </c>
      <c r="D438" s="31">
        <v>5</v>
      </c>
      <c r="E438" s="31">
        <v>110</v>
      </c>
      <c r="F438" s="31">
        <v>550</v>
      </c>
      <c r="G438" s="31">
        <v>649</v>
      </c>
      <c r="H438" s="31">
        <v>99</v>
      </c>
      <c r="I438" s="31" t="s">
        <v>8</v>
      </c>
    </row>
    <row r="439" spans="1:9" x14ac:dyDescent="0.25">
      <c r="A439" s="32">
        <v>45809</v>
      </c>
      <c r="B439" s="31" t="s">
        <v>53</v>
      </c>
      <c r="C439" s="31" t="s">
        <v>8</v>
      </c>
      <c r="D439" s="31">
        <v>60</v>
      </c>
      <c r="E439" s="31">
        <v>335</v>
      </c>
      <c r="F439" s="31">
        <v>20100</v>
      </c>
      <c r="G439" s="31">
        <v>23718</v>
      </c>
      <c r="H439" s="31">
        <v>3618</v>
      </c>
      <c r="I439" s="31" t="s">
        <v>8</v>
      </c>
    </row>
    <row r="440" spans="1:9" x14ac:dyDescent="0.25">
      <c r="A440" s="32">
        <v>45809</v>
      </c>
      <c r="B440" s="31" t="s">
        <v>36</v>
      </c>
      <c r="C440" s="31" t="s">
        <v>8</v>
      </c>
      <c r="D440" s="31">
        <v>19</v>
      </c>
      <c r="E440" s="31">
        <v>154.21</v>
      </c>
      <c r="F440" s="31">
        <v>2930</v>
      </c>
      <c r="G440" s="31">
        <v>3457</v>
      </c>
      <c r="H440" s="31">
        <v>527.4</v>
      </c>
      <c r="I440" s="31" t="s">
        <v>8</v>
      </c>
    </row>
    <row r="441" spans="1:9" x14ac:dyDescent="0.25">
      <c r="A441" s="32">
        <v>45810</v>
      </c>
      <c r="B441" s="31" t="s">
        <v>82</v>
      </c>
      <c r="C441" s="31" t="s">
        <v>8</v>
      </c>
      <c r="D441" s="31">
        <v>550</v>
      </c>
      <c r="E441" s="31">
        <v>94.6</v>
      </c>
      <c r="F441" s="31">
        <v>52030</v>
      </c>
      <c r="G441" s="31">
        <v>61395</v>
      </c>
      <c r="H441" s="31">
        <v>9365.4</v>
      </c>
      <c r="I441" s="31" t="s">
        <v>8</v>
      </c>
    </row>
    <row r="442" spans="1:9" x14ac:dyDescent="0.25">
      <c r="A442" s="32">
        <v>45810</v>
      </c>
      <c r="B442" s="31" t="s">
        <v>42</v>
      </c>
      <c r="C442" s="31" t="s">
        <v>8</v>
      </c>
      <c r="D442" s="31">
        <v>472</v>
      </c>
      <c r="E442" s="31">
        <v>109.96</v>
      </c>
      <c r="F442" s="31">
        <v>51900</v>
      </c>
      <c r="G442" s="31">
        <v>61242</v>
      </c>
      <c r="H442" s="31">
        <v>9342</v>
      </c>
      <c r="I442" s="31" t="s">
        <v>8</v>
      </c>
    </row>
    <row r="443" spans="1:9" x14ac:dyDescent="0.25">
      <c r="A443" s="32">
        <v>45810</v>
      </c>
      <c r="B443" s="31" t="s">
        <v>98</v>
      </c>
      <c r="C443" s="31" t="s">
        <v>8</v>
      </c>
      <c r="D443" s="31">
        <v>26</v>
      </c>
      <c r="E443" s="31">
        <v>136</v>
      </c>
      <c r="F443" s="31">
        <v>3536</v>
      </c>
      <c r="G443" s="31">
        <v>4172</v>
      </c>
      <c r="H443" s="31">
        <v>636.48</v>
      </c>
      <c r="I443" s="31" t="s">
        <v>8</v>
      </c>
    </row>
    <row r="444" spans="1:9" x14ac:dyDescent="0.25">
      <c r="A444" s="32">
        <v>45810</v>
      </c>
      <c r="B444" s="31" t="s">
        <v>98</v>
      </c>
      <c r="C444" s="31" t="s">
        <v>8</v>
      </c>
      <c r="D444" s="31">
        <v>210</v>
      </c>
      <c r="E444" s="31">
        <v>65</v>
      </c>
      <c r="F444" s="31">
        <v>13650</v>
      </c>
      <c r="G444" s="31">
        <v>16107</v>
      </c>
      <c r="H444" s="31">
        <v>2457</v>
      </c>
      <c r="I444" s="31" t="s">
        <v>8</v>
      </c>
    </row>
    <row r="445" spans="1:9" x14ac:dyDescent="0.25">
      <c r="A445" s="32">
        <v>45810</v>
      </c>
      <c r="B445" s="31" t="s">
        <v>96</v>
      </c>
      <c r="C445" s="31" t="s">
        <v>8</v>
      </c>
      <c r="D445" s="31">
        <v>156</v>
      </c>
      <c r="E445" s="31">
        <v>85</v>
      </c>
      <c r="F445" s="31">
        <v>13260</v>
      </c>
      <c r="G445" s="31">
        <v>15647</v>
      </c>
      <c r="H445" s="31">
        <v>2386.7999999999997</v>
      </c>
      <c r="I445" s="31" t="s">
        <v>8</v>
      </c>
    </row>
    <row r="446" spans="1:9" x14ac:dyDescent="0.25">
      <c r="A446" s="32">
        <v>45810</v>
      </c>
      <c r="B446" s="31" t="s">
        <v>95</v>
      </c>
      <c r="C446" s="31" t="s">
        <v>8</v>
      </c>
      <c r="D446" s="31">
        <v>220</v>
      </c>
      <c r="E446" s="31">
        <v>55</v>
      </c>
      <c r="F446" s="31">
        <v>12100</v>
      </c>
      <c r="G446" s="31">
        <v>14278</v>
      </c>
      <c r="H446" s="31">
        <v>2178</v>
      </c>
      <c r="I446" s="31" t="s">
        <v>8</v>
      </c>
    </row>
    <row r="447" spans="1:9" x14ac:dyDescent="0.25">
      <c r="A447" s="32">
        <v>45810</v>
      </c>
      <c r="B447" s="31" t="s">
        <v>97</v>
      </c>
      <c r="C447" s="31" t="s">
        <v>8</v>
      </c>
      <c r="D447" s="31">
        <v>5</v>
      </c>
      <c r="E447" s="31">
        <v>210</v>
      </c>
      <c r="F447" s="31">
        <v>1050</v>
      </c>
      <c r="G447" s="31">
        <v>1239</v>
      </c>
      <c r="H447" s="31">
        <v>189</v>
      </c>
      <c r="I447" s="31" t="s">
        <v>8</v>
      </c>
    </row>
    <row r="448" spans="1:9" x14ac:dyDescent="0.25">
      <c r="A448" s="32">
        <v>45811</v>
      </c>
      <c r="B448" s="31" t="s">
        <v>86</v>
      </c>
      <c r="C448" s="31" t="s">
        <v>8</v>
      </c>
      <c r="D448" s="31">
        <v>210</v>
      </c>
      <c r="E448" s="31">
        <v>76</v>
      </c>
      <c r="F448" s="31">
        <v>15960</v>
      </c>
      <c r="G448" s="31">
        <v>18833</v>
      </c>
      <c r="H448" s="31">
        <v>2872.7999999999997</v>
      </c>
      <c r="I448" s="31" t="s">
        <v>8</v>
      </c>
    </row>
    <row r="449" spans="1:9" x14ac:dyDescent="0.25">
      <c r="A449" s="32">
        <v>45811</v>
      </c>
      <c r="B449" s="31" t="s">
        <v>13</v>
      </c>
      <c r="C449" s="31" t="s">
        <v>8</v>
      </c>
      <c r="D449" s="31">
        <v>1260</v>
      </c>
      <c r="E449" s="31">
        <v>68.5</v>
      </c>
      <c r="F449" s="31">
        <v>86310</v>
      </c>
      <c r="G449" s="31">
        <v>101846</v>
      </c>
      <c r="H449" s="31">
        <v>15535.8</v>
      </c>
      <c r="I449" s="31" t="s">
        <v>8</v>
      </c>
    </row>
    <row r="450" spans="1:9" x14ac:dyDescent="0.25">
      <c r="A450" s="32">
        <v>45811</v>
      </c>
      <c r="B450" s="31" t="s">
        <v>17</v>
      </c>
      <c r="C450" s="31" t="s">
        <v>8</v>
      </c>
      <c r="D450" s="31">
        <v>210</v>
      </c>
      <c r="E450" s="31">
        <v>72</v>
      </c>
      <c r="F450" s="31">
        <v>15120</v>
      </c>
      <c r="G450" s="31">
        <v>17842</v>
      </c>
      <c r="H450" s="31">
        <v>2721.6</v>
      </c>
      <c r="I450" s="31" t="s">
        <v>8</v>
      </c>
    </row>
    <row r="451" spans="1:9" x14ac:dyDescent="0.25">
      <c r="A451" s="32">
        <v>45811</v>
      </c>
      <c r="B451" s="31" t="s">
        <v>71</v>
      </c>
      <c r="C451" s="31" t="s">
        <v>8</v>
      </c>
      <c r="D451" s="31">
        <v>420</v>
      </c>
      <c r="E451" s="31">
        <v>80</v>
      </c>
      <c r="F451" s="31">
        <v>33600</v>
      </c>
      <c r="G451" s="31">
        <v>39648</v>
      </c>
      <c r="H451" s="31">
        <v>6048</v>
      </c>
      <c r="I451" s="31" t="s">
        <v>8</v>
      </c>
    </row>
    <row r="452" spans="1:9" x14ac:dyDescent="0.25">
      <c r="A452" s="32">
        <v>45811</v>
      </c>
      <c r="B452" s="31" t="s">
        <v>51</v>
      </c>
      <c r="C452" s="31" t="s">
        <v>8</v>
      </c>
      <c r="D452" s="31">
        <v>26</v>
      </c>
      <c r="E452" s="31">
        <v>115</v>
      </c>
      <c r="F452" s="31">
        <v>6580</v>
      </c>
      <c r="G452" s="31">
        <v>7764</v>
      </c>
      <c r="H452" s="31">
        <v>1184.3999999999999</v>
      </c>
      <c r="I452" s="31" t="s">
        <v>8</v>
      </c>
    </row>
    <row r="453" spans="1:9" x14ac:dyDescent="0.25">
      <c r="A453" s="32">
        <v>45811</v>
      </c>
      <c r="B453" s="31" t="s">
        <v>98</v>
      </c>
      <c r="C453" s="31" t="s">
        <v>8</v>
      </c>
      <c r="D453" s="31">
        <v>2</v>
      </c>
      <c r="E453" s="31">
        <v>220</v>
      </c>
      <c r="F453" s="31">
        <v>440</v>
      </c>
      <c r="G453" s="31">
        <v>519</v>
      </c>
      <c r="H453" s="31">
        <v>79.2</v>
      </c>
      <c r="I453" s="31" t="s">
        <v>8</v>
      </c>
    </row>
    <row r="454" spans="1:9" x14ac:dyDescent="0.25">
      <c r="A454" s="32">
        <v>45811</v>
      </c>
      <c r="B454" s="31" t="s">
        <v>98</v>
      </c>
      <c r="C454" s="31" t="s">
        <v>8</v>
      </c>
      <c r="D454" s="31">
        <v>5</v>
      </c>
      <c r="E454" s="31">
        <v>110</v>
      </c>
      <c r="F454" s="31">
        <v>550</v>
      </c>
      <c r="G454" s="31">
        <v>649</v>
      </c>
      <c r="H454" s="31">
        <v>99</v>
      </c>
      <c r="I454" s="31" t="s">
        <v>8</v>
      </c>
    </row>
    <row r="455" spans="1:9" x14ac:dyDescent="0.25">
      <c r="A455" s="32">
        <v>45811</v>
      </c>
      <c r="B455" s="31" t="s">
        <v>95</v>
      </c>
      <c r="C455" s="31" t="s">
        <v>8</v>
      </c>
      <c r="D455" s="31">
        <v>5</v>
      </c>
      <c r="E455" s="31">
        <v>130</v>
      </c>
      <c r="F455" s="31">
        <v>650</v>
      </c>
      <c r="G455" s="31">
        <v>767</v>
      </c>
      <c r="H455" s="31">
        <v>117</v>
      </c>
      <c r="I455" s="31" t="s">
        <v>8</v>
      </c>
    </row>
    <row r="456" spans="1:9" x14ac:dyDescent="0.25">
      <c r="A456" s="32">
        <v>45811</v>
      </c>
      <c r="B456" s="31" t="s">
        <v>66</v>
      </c>
      <c r="C456" s="31" t="s">
        <v>8</v>
      </c>
      <c r="D456" s="31">
        <v>130</v>
      </c>
      <c r="E456" s="31">
        <v>120</v>
      </c>
      <c r="F456" s="31">
        <v>15600</v>
      </c>
      <c r="G456" s="31">
        <v>18408</v>
      </c>
      <c r="H456" s="31">
        <v>2808</v>
      </c>
      <c r="I456" s="31" t="s">
        <v>8</v>
      </c>
    </row>
    <row r="457" spans="1:9" x14ac:dyDescent="0.25">
      <c r="A457" s="32">
        <v>45812</v>
      </c>
      <c r="B457" s="31" t="s">
        <v>98</v>
      </c>
      <c r="C457" s="31" t="s">
        <v>8</v>
      </c>
      <c r="D457" s="31">
        <v>52</v>
      </c>
      <c r="E457" s="31">
        <v>120</v>
      </c>
      <c r="F457" s="31">
        <v>6240</v>
      </c>
      <c r="G457" s="31">
        <v>7363</v>
      </c>
      <c r="H457" s="31">
        <v>1123.2</v>
      </c>
      <c r="I457" s="31" t="s">
        <v>8</v>
      </c>
    </row>
    <row r="458" spans="1:9" x14ac:dyDescent="0.25">
      <c r="A458" s="32">
        <v>45812</v>
      </c>
      <c r="B458" s="31" t="s">
        <v>98</v>
      </c>
      <c r="C458" s="31" t="s">
        <v>8</v>
      </c>
      <c r="D458" s="31">
        <v>210</v>
      </c>
      <c r="E458" s="31">
        <v>117</v>
      </c>
      <c r="F458" s="31">
        <v>24570</v>
      </c>
      <c r="G458" s="31">
        <v>28993</v>
      </c>
      <c r="H458" s="31">
        <v>4422.5999999999995</v>
      </c>
      <c r="I458" s="31" t="s">
        <v>8</v>
      </c>
    </row>
    <row r="459" spans="1:9" x14ac:dyDescent="0.25">
      <c r="A459" s="32">
        <v>45812</v>
      </c>
      <c r="B459" s="31" t="s">
        <v>98</v>
      </c>
      <c r="C459" s="31" t="s">
        <v>8</v>
      </c>
      <c r="D459" s="31">
        <v>26</v>
      </c>
      <c r="E459" s="31">
        <v>130</v>
      </c>
      <c r="F459" s="31">
        <v>3380</v>
      </c>
      <c r="G459" s="31">
        <v>3988</v>
      </c>
      <c r="H459" s="31">
        <v>608.4</v>
      </c>
      <c r="I459" s="31" t="s">
        <v>8</v>
      </c>
    </row>
    <row r="460" spans="1:9" x14ac:dyDescent="0.25">
      <c r="A460" s="32">
        <v>45812</v>
      </c>
      <c r="B460" s="31" t="s">
        <v>94</v>
      </c>
      <c r="C460" s="31" t="s">
        <v>8</v>
      </c>
      <c r="D460" s="31">
        <v>26</v>
      </c>
      <c r="E460" s="31">
        <v>115</v>
      </c>
      <c r="F460" s="31">
        <v>9578</v>
      </c>
      <c r="G460" s="31">
        <v>11302</v>
      </c>
      <c r="H460" s="31">
        <v>1724.04</v>
      </c>
      <c r="I460" s="31" t="s">
        <v>8</v>
      </c>
    </row>
    <row r="461" spans="1:9" x14ac:dyDescent="0.25">
      <c r="A461" s="32">
        <v>45812</v>
      </c>
      <c r="B461" s="31" t="s">
        <v>98</v>
      </c>
      <c r="C461" s="31" t="s">
        <v>8</v>
      </c>
      <c r="D461" s="31">
        <v>30</v>
      </c>
      <c r="E461" s="31">
        <v>106.67</v>
      </c>
      <c r="F461" s="31">
        <v>3200</v>
      </c>
      <c r="G461" s="31">
        <v>3776</v>
      </c>
      <c r="H461" s="31">
        <v>576</v>
      </c>
      <c r="I461" s="31" t="s">
        <v>8</v>
      </c>
    </row>
    <row r="462" spans="1:9" x14ac:dyDescent="0.25">
      <c r="A462" s="32">
        <v>45812</v>
      </c>
      <c r="B462" s="31" t="s">
        <v>95</v>
      </c>
      <c r="C462" s="31" t="s">
        <v>8</v>
      </c>
      <c r="D462" s="31">
        <v>220</v>
      </c>
      <c r="E462" s="31">
        <v>55</v>
      </c>
      <c r="F462" s="31">
        <v>12100</v>
      </c>
      <c r="G462" s="31">
        <v>14278</v>
      </c>
      <c r="H462" s="31">
        <v>2178</v>
      </c>
      <c r="I462" s="31" t="s">
        <v>8</v>
      </c>
    </row>
    <row r="463" spans="1:9" x14ac:dyDescent="0.25">
      <c r="A463" s="32">
        <v>45814</v>
      </c>
      <c r="B463" s="31" t="s">
        <v>11</v>
      </c>
      <c r="C463" s="31" t="s">
        <v>8</v>
      </c>
      <c r="D463" s="31">
        <v>70</v>
      </c>
      <c r="E463" s="31">
        <v>77.5</v>
      </c>
      <c r="F463" s="31">
        <v>5425</v>
      </c>
      <c r="G463" s="31">
        <v>6402</v>
      </c>
      <c r="H463" s="31">
        <v>976.5</v>
      </c>
      <c r="I463" s="31" t="s">
        <v>8</v>
      </c>
    </row>
    <row r="464" spans="1:9" x14ac:dyDescent="0.25">
      <c r="A464" s="32">
        <v>45814</v>
      </c>
      <c r="B464" s="31" t="s">
        <v>94</v>
      </c>
      <c r="C464" s="31" t="s">
        <v>8</v>
      </c>
      <c r="D464" s="31">
        <v>100</v>
      </c>
      <c r="E464" s="31">
        <v>95.5</v>
      </c>
      <c r="F464" s="31">
        <v>9550</v>
      </c>
      <c r="G464" s="31">
        <v>11269</v>
      </c>
      <c r="H464" s="31">
        <v>1719</v>
      </c>
      <c r="I464" s="31" t="s">
        <v>8</v>
      </c>
    </row>
    <row r="465" spans="1:9" x14ac:dyDescent="0.25">
      <c r="A465" s="32">
        <v>45814</v>
      </c>
      <c r="B465" s="31" t="s">
        <v>95</v>
      </c>
      <c r="C465" s="31" t="s">
        <v>8</v>
      </c>
      <c r="D465" s="31">
        <v>33</v>
      </c>
      <c r="E465" s="31">
        <v>111.58</v>
      </c>
      <c r="F465" s="31">
        <v>3682</v>
      </c>
      <c r="G465" s="31">
        <v>4345</v>
      </c>
      <c r="H465" s="31">
        <v>662.76</v>
      </c>
      <c r="I465" s="31" t="s">
        <v>8</v>
      </c>
    </row>
    <row r="466" spans="1:9" x14ac:dyDescent="0.25">
      <c r="A466" s="32">
        <v>45814</v>
      </c>
      <c r="B466" s="31" t="s">
        <v>96</v>
      </c>
      <c r="C466" s="31" t="s">
        <v>8</v>
      </c>
      <c r="D466" s="31">
        <v>420</v>
      </c>
      <c r="E466" s="31">
        <v>55</v>
      </c>
      <c r="F466" s="31">
        <v>23100</v>
      </c>
      <c r="G466" s="31">
        <v>27258</v>
      </c>
      <c r="H466" s="31">
        <v>4158</v>
      </c>
      <c r="I466" s="31" t="s">
        <v>8</v>
      </c>
    </row>
    <row r="467" spans="1:9" x14ac:dyDescent="0.25">
      <c r="A467" s="32">
        <v>45814</v>
      </c>
      <c r="B467" s="31" t="s">
        <v>102</v>
      </c>
      <c r="C467" s="31" t="s">
        <v>8</v>
      </c>
      <c r="D467" s="31">
        <v>2</v>
      </c>
      <c r="E467" s="31">
        <v>294</v>
      </c>
      <c r="F467" s="31">
        <v>588</v>
      </c>
      <c r="G467" s="31">
        <v>694</v>
      </c>
      <c r="H467" s="31">
        <v>105.83999999999999</v>
      </c>
      <c r="I467" s="31" t="s">
        <v>8</v>
      </c>
    </row>
    <row r="468" spans="1:9" x14ac:dyDescent="0.25">
      <c r="A468" s="32">
        <v>45815</v>
      </c>
      <c r="B468" s="31" t="s">
        <v>94</v>
      </c>
      <c r="C468" s="31" t="s">
        <v>8</v>
      </c>
      <c r="D468" s="31">
        <v>5</v>
      </c>
      <c r="E468" s="31">
        <v>158</v>
      </c>
      <c r="F468" s="31">
        <v>790</v>
      </c>
      <c r="G468" s="31">
        <v>932</v>
      </c>
      <c r="H468" s="31">
        <v>142.19999999999999</v>
      </c>
      <c r="I468" s="31" t="s">
        <v>8</v>
      </c>
    </row>
    <row r="469" spans="1:9" x14ac:dyDescent="0.25">
      <c r="A469" s="32">
        <v>45815</v>
      </c>
      <c r="B469" s="31" t="s">
        <v>96</v>
      </c>
      <c r="C469" s="31" t="s">
        <v>8</v>
      </c>
      <c r="D469" s="31">
        <v>148</v>
      </c>
      <c r="E469" s="31">
        <v>98.72</v>
      </c>
      <c r="F469" s="31">
        <v>14610</v>
      </c>
      <c r="G469" s="31">
        <v>17240</v>
      </c>
      <c r="H469" s="31">
        <v>2629.7999999999997</v>
      </c>
      <c r="I469" s="31" t="s">
        <v>8</v>
      </c>
    </row>
    <row r="470" spans="1:9" x14ac:dyDescent="0.25">
      <c r="A470" s="32">
        <v>45815</v>
      </c>
      <c r="B470" s="31" t="s">
        <v>37</v>
      </c>
      <c r="C470" s="31" t="s">
        <v>8</v>
      </c>
      <c r="D470" s="31">
        <v>10</v>
      </c>
      <c r="E470" s="31">
        <v>110</v>
      </c>
      <c r="F470" s="31">
        <v>1100</v>
      </c>
      <c r="G470" s="31">
        <v>1298</v>
      </c>
      <c r="H470" s="31">
        <v>198</v>
      </c>
      <c r="I470" s="31" t="s">
        <v>8</v>
      </c>
    </row>
    <row r="471" spans="1:9" x14ac:dyDescent="0.25">
      <c r="A471" s="32">
        <v>45815</v>
      </c>
      <c r="B471" s="31" t="s">
        <v>17</v>
      </c>
      <c r="C471" s="31" t="s">
        <v>8</v>
      </c>
      <c r="D471" s="31">
        <v>210</v>
      </c>
      <c r="E471" s="31">
        <v>72</v>
      </c>
      <c r="F471" s="31">
        <v>15120</v>
      </c>
      <c r="G471" s="31">
        <v>17842</v>
      </c>
      <c r="H471" s="31">
        <v>2721.6</v>
      </c>
      <c r="I471" s="31" t="s">
        <v>8</v>
      </c>
    </row>
    <row r="472" spans="1:9" x14ac:dyDescent="0.25">
      <c r="A472" s="32">
        <v>45815</v>
      </c>
      <c r="B472" s="31" t="s">
        <v>97</v>
      </c>
      <c r="C472" s="31" t="s">
        <v>8</v>
      </c>
      <c r="D472" s="31">
        <v>2050</v>
      </c>
      <c r="E472" s="31">
        <v>105</v>
      </c>
      <c r="F472" s="31">
        <v>215250</v>
      </c>
      <c r="G472" s="31">
        <v>253995</v>
      </c>
      <c r="H472" s="31">
        <v>38745</v>
      </c>
      <c r="I472" s="31" t="s">
        <v>8</v>
      </c>
    </row>
    <row r="473" spans="1:9" x14ac:dyDescent="0.25">
      <c r="A473" s="32">
        <v>45816</v>
      </c>
      <c r="B473" s="31" t="s">
        <v>97</v>
      </c>
      <c r="C473" s="31" t="s">
        <v>8</v>
      </c>
      <c r="D473" s="31">
        <v>10</v>
      </c>
      <c r="E473" s="31">
        <v>160</v>
      </c>
      <c r="F473" s="31">
        <v>1600</v>
      </c>
      <c r="G473" s="31">
        <v>1888</v>
      </c>
      <c r="H473" s="31">
        <v>288</v>
      </c>
      <c r="I473" s="31" t="s">
        <v>8</v>
      </c>
    </row>
    <row r="474" spans="1:9" x14ac:dyDescent="0.25">
      <c r="A474" s="32">
        <v>45816</v>
      </c>
      <c r="B474" s="31" t="s">
        <v>94</v>
      </c>
      <c r="C474" s="31" t="s">
        <v>8</v>
      </c>
      <c r="D474" s="31">
        <v>35</v>
      </c>
      <c r="E474" s="31">
        <v>75</v>
      </c>
      <c r="F474" s="31">
        <v>2625</v>
      </c>
      <c r="G474" s="31">
        <v>3098</v>
      </c>
      <c r="H474" s="31">
        <v>472.5</v>
      </c>
      <c r="I474" s="31" t="s">
        <v>8</v>
      </c>
    </row>
    <row r="475" spans="1:9" x14ac:dyDescent="0.25">
      <c r="A475" s="32">
        <v>45816</v>
      </c>
      <c r="B475" s="31" t="s">
        <v>70</v>
      </c>
      <c r="C475" s="31" t="s">
        <v>8</v>
      </c>
      <c r="D475" s="31">
        <v>2</v>
      </c>
      <c r="E475" s="31">
        <v>120</v>
      </c>
      <c r="F475" s="31">
        <v>240</v>
      </c>
      <c r="G475" s="31">
        <v>283</v>
      </c>
      <c r="H475" s="31">
        <v>43.199999999999996</v>
      </c>
      <c r="I475" s="31" t="s">
        <v>8</v>
      </c>
    </row>
    <row r="476" spans="1:9" x14ac:dyDescent="0.25">
      <c r="A476" s="32">
        <v>45816</v>
      </c>
      <c r="B476" s="31" t="s">
        <v>95</v>
      </c>
      <c r="C476" s="31" t="s">
        <v>8</v>
      </c>
      <c r="D476" s="31">
        <v>78</v>
      </c>
      <c r="E476" s="31">
        <v>103.33</v>
      </c>
      <c r="F476" s="31">
        <v>8060</v>
      </c>
      <c r="G476" s="31">
        <v>9511</v>
      </c>
      <c r="H476" s="31">
        <v>1450.8</v>
      </c>
      <c r="I476" s="31" t="s">
        <v>8</v>
      </c>
    </row>
    <row r="477" spans="1:9" x14ac:dyDescent="0.25">
      <c r="A477" s="32">
        <v>45817</v>
      </c>
      <c r="B477" s="31" t="s">
        <v>95</v>
      </c>
      <c r="C477" s="31" t="s">
        <v>8</v>
      </c>
      <c r="D477" s="31">
        <v>270</v>
      </c>
      <c r="E477" s="31">
        <v>55</v>
      </c>
      <c r="F477" s="31">
        <v>14850</v>
      </c>
      <c r="G477" s="31">
        <v>17523</v>
      </c>
      <c r="H477" s="31">
        <v>2673</v>
      </c>
      <c r="I477" s="31" t="s">
        <v>8</v>
      </c>
    </row>
    <row r="478" spans="1:9" x14ac:dyDescent="0.25">
      <c r="A478" s="32">
        <v>45817</v>
      </c>
      <c r="B478" s="31" t="s">
        <v>94</v>
      </c>
      <c r="C478" s="31" t="s">
        <v>8</v>
      </c>
      <c r="D478" s="31">
        <v>630</v>
      </c>
      <c r="E478" s="31">
        <v>75</v>
      </c>
      <c r="F478" s="31">
        <v>47250</v>
      </c>
      <c r="G478" s="31">
        <v>55755</v>
      </c>
      <c r="H478" s="31">
        <v>8505</v>
      </c>
      <c r="I478" s="31" t="s">
        <v>8</v>
      </c>
    </row>
    <row r="479" spans="1:9" x14ac:dyDescent="0.25">
      <c r="A479" s="32">
        <v>45817</v>
      </c>
      <c r="B479" s="31" t="s">
        <v>67</v>
      </c>
      <c r="C479" s="31" t="s">
        <v>8</v>
      </c>
      <c r="D479" s="31">
        <v>26</v>
      </c>
      <c r="E479" s="31">
        <v>125</v>
      </c>
      <c r="F479" s="31">
        <v>3250</v>
      </c>
      <c r="G479" s="31">
        <v>3835</v>
      </c>
      <c r="H479" s="31">
        <v>585</v>
      </c>
      <c r="I479" s="31" t="s">
        <v>8</v>
      </c>
    </row>
    <row r="480" spans="1:9" x14ac:dyDescent="0.25">
      <c r="A480" s="32">
        <v>45817</v>
      </c>
      <c r="B480" s="31" t="s">
        <v>76</v>
      </c>
      <c r="C480" s="31" t="s">
        <v>8</v>
      </c>
      <c r="D480" s="31">
        <v>52</v>
      </c>
      <c r="E480" s="31">
        <v>135</v>
      </c>
      <c r="F480" s="31">
        <v>7020</v>
      </c>
      <c r="G480" s="31">
        <v>8284</v>
      </c>
      <c r="H480" s="31">
        <v>1263.5999999999999</v>
      </c>
      <c r="I480" s="31" t="s">
        <v>8</v>
      </c>
    </row>
    <row r="481" spans="1:9" x14ac:dyDescent="0.25">
      <c r="A481" s="32">
        <v>45817</v>
      </c>
      <c r="B481" s="31" t="s">
        <v>95</v>
      </c>
      <c r="C481" s="31" t="s">
        <v>8</v>
      </c>
      <c r="D481" s="31">
        <v>20</v>
      </c>
      <c r="E481" s="31">
        <v>150</v>
      </c>
      <c r="F481" s="31">
        <v>3000</v>
      </c>
      <c r="G481" s="31">
        <v>3540</v>
      </c>
      <c r="H481" s="31">
        <v>540</v>
      </c>
      <c r="I481" s="31" t="s">
        <v>8</v>
      </c>
    </row>
    <row r="482" spans="1:9" x14ac:dyDescent="0.25">
      <c r="A482" s="32">
        <v>45817</v>
      </c>
      <c r="B482" s="31" t="s">
        <v>63</v>
      </c>
      <c r="C482" s="31" t="s">
        <v>8</v>
      </c>
      <c r="D482" s="31">
        <v>26</v>
      </c>
      <c r="E482" s="31">
        <v>115</v>
      </c>
      <c r="F482" s="31">
        <v>251567.4</v>
      </c>
      <c r="G482" s="31">
        <v>294822</v>
      </c>
      <c r="H482" s="31">
        <v>45282.131999999998</v>
      </c>
      <c r="I482" s="31" t="s">
        <v>8</v>
      </c>
    </row>
    <row r="483" spans="1:9" x14ac:dyDescent="0.25">
      <c r="A483" s="32">
        <v>45817</v>
      </c>
      <c r="B483" s="31" t="s">
        <v>9</v>
      </c>
      <c r="C483" s="31" t="s">
        <v>8</v>
      </c>
      <c r="D483" s="31">
        <v>5</v>
      </c>
      <c r="E483" s="31">
        <v>200</v>
      </c>
      <c r="F483" s="31">
        <v>1000</v>
      </c>
      <c r="G483" s="31">
        <v>1180</v>
      </c>
      <c r="H483" s="31">
        <v>180</v>
      </c>
      <c r="I483" s="31" t="s">
        <v>8</v>
      </c>
    </row>
    <row r="484" spans="1:9" x14ac:dyDescent="0.25">
      <c r="A484" s="32">
        <v>45817</v>
      </c>
      <c r="B484" s="31" t="s">
        <v>94</v>
      </c>
      <c r="C484" s="31" t="s">
        <v>8</v>
      </c>
      <c r="D484" s="31">
        <v>184</v>
      </c>
      <c r="E484" s="31">
        <v>196.3</v>
      </c>
      <c r="F484" s="31">
        <v>36120</v>
      </c>
      <c r="G484" s="31">
        <v>42622</v>
      </c>
      <c r="H484" s="31">
        <v>6501.5999999999995</v>
      </c>
      <c r="I484" s="31" t="s">
        <v>8</v>
      </c>
    </row>
    <row r="485" spans="1:9" x14ac:dyDescent="0.25">
      <c r="A485" s="32">
        <v>45817</v>
      </c>
      <c r="B485" s="31" t="s">
        <v>87</v>
      </c>
      <c r="C485" s="31" t="s">
        <v>8</v>
      </c>
      <c r="D485" s="31">
        <v>50</v>
      </c>
      <c r="E485" s="31">
        <v>94</v>
      </c>
      <c r="F485" s="31">
        <v>4700</v>
      </c>
      <c r="G485" s="31">
        <v>5546</v>
      </c>
      <c r="H485" s="31">
        <v>846</v>
      </c>
      <c r="I485" s="31" t="s">
        <v>8</v>
      </c>
    </row>
    <row r="486" spans="1:9" x14ac:dyDescent="0.25">
      <c r="A486" s="32">
        <v>45817</v>
      </c>
      <c r="B486" s="31" t="s">
        <v>63</v>
      </c>
      <c r="C486" s="31" t="s">
        <v>8</v>
      </c>
      <c r="D486" s="31">
        <v>26</v>
      </c>
      <c r="E486" s="31">
        <v>115</v>
      </c>
      <c r="F486" s="31">
        <v>112061.2</v>
      </c>
      <c r="G486" s="31">
        <v>131218</v>
      </c>
      <c r="H486" s="31">
        <v>20171.016</v>
      </c>
      <c r="I486" s="31" t="s">
        <v>8</v>
      </c>
    </row>
    <row r="487" spans="1:9" x14ac:dyDescent="0.25">
      <c r="A487" s="32">
        <v>45817</v>
      </c>
      <c r="B487" s="31" t="s">
        <v>93</v>
      </c>
      <c r="C487" s="31" t="s">
        <v>8</v>
      </c>
      <c r="D487" s="31">
        <v>210</v>
      </c>
      <c r="E487" s="31">
        <v>80</v>
      </c>
      <c r="F487" s="31">
        <v>16800</v>
      </c>
      <c r="G487" s="31">
        <v>19824</v>
      </c>
      <c r="H487" s="31">
        <v>3024</v>
      </c>
      <c r="I487" s="31" t="s">
        <v>8</v>
      </c>
    </row>
    <row r="488" spans="1:9" x14ac:dyDescent="0.25">
      <c r="A488" s="32">
        <v>45818</v>
      </c>
      <c r="B488" s="31" t="s">
        <v>50</v>
      </c>
      <c r="C488" s="31" t="s">
        <v>8</v>
      </c>
      <c r="D488" s="31">
        <v>420</v>
      </c>
      <c r="E488" s="31">
        <v>110</v>
      </c>
      <c r="F488" s="31">
        <v>46200</v>
      </c>
      <c r="G488" s="31">
        <v>54516</v>
      </c>
      <c r="H488" s="31">
        <v>8316</v>
      </c>
      <c r="I488" s="31" t="s">
        <v>8</v>
      </c>
    </row>
    <row r="489" spans="1:9" x14ac:dyDescent="0.25">
      <c r="A489" s="32">
        <v>45818</v>
      </c>
      <c r="B489" s="31" t="s">
        <v>96</v>
      </c>
      <c r="C489" s="31" t="s">
        <v>8</v>
      </c>
      <c r="D489" s="31">
        <v>210</v>
      </c>
      <c r="E489" s="31">
        <v>107</v>
      </c>
      <c r="F489" s="31">
        <v>22470</v>
      </c>
      <c r="G489" s="31">
        <v>26515</v>
      </c>
      <c r="H489" s="31">
        <v>4044.6</v>
      </c>
      <c r="I489" s="31" t="s">
        <v>8</v>
      </c>
    </row>
    <row r="490" spans="1:9" x14ac:dyDescent="0.25">
      <c r="A490" s="32">
        <v>45818</v>
      </c>
      <c r="B490" s="31" t="s">
        <v>96</v>
      </c>
      <c r="C490" s="31" t="s">
        <v>8</v>
      </c>
      <c r="D490" s="31">
        <v>78</v>
      </c>
      <c r="E490" s="31">
        <v>105</v>
      </c>
      <c r="F490" s="31">
        <v>8190</v>
      </c>
      <c r="G490" s="31">
        <v>9664</v>
      </c>
      <c r="H490" s="31">
        <v>1474.2</v>
      </c>
      <c r="I490" s="31" t="s">
        <v>8</v>
      </c>
    </row>
    <row r="491" spans="1:9" x14ac:dyDescent="0.25">
      <c r="A491" s="32">
        <v>45818</v>
      </c>
      <c r="B491" s="31" t="s">
        <v>102</v>
      </c>
      <c r="C491" s="31" t="s">
        <v>8</v>
      </c>
      <c r="D491" s="31">
        <v>210</v>
      </c>
      <c r="E491" s="31">
        <v>80</v>
      </c>
      <c r="F491" s="31">
        <v>16800</v>
      </c>
      <c r="G491" s="31">
        <v>19824</v>
      </c>
      <c r="H491" s="31">
        <v>3024</v>
      </c>
      <c r="I491" s="31" t="s">
        <v>8</v>
      </c>
    </row>
    <row r="492" spans="1:9" x14ac:dyDescent="0.25">
      <c r="A492" s="32">
        <v>45818</v>
      </c>
      <c r="B492" s="31" t="s">
        <v>86</v>
      </c>
      <c r="C492" s="31" t="s">
        <v>8</v>
      </c>
      <c r="D492" s="31">
        <v>210</v>
      </c>
      <c r="E492" s="31">
        <v>76</v>
      </c>
      <c r="F492" s="31">
        <v>15960</v>
      </c>
      <c r="G492" s="31">
        <v>18833</v>
      </c>
      <c r="H492" s="31">
        <v>2872.7999999999997</v>
      </c>
      <c r="I492" s="31" t="s">
        <v>8</v>
      </c>
    </row>
    <row r="493" spans="1:9" x14ac:dyDescent="0.25">
      <c r="A493" s="32">
        <v>45818</v>
      </c>
      <c r="B493" s="31" t="s">
        <v>20</v>
      </c>
      <c r="C493" s="31" t="s">
        <v>8</v>
      </c>
      <c r="D493" s="31">
        <v>26</v>
      </c>
      <c r="E493" s="31">
        <v>120</v>
      </c>
      <c r="F493" s="31">
        <v>3120</v>
      </c>
      <c r="G493" s="31">
        <v>3682</v>
      </c>
      <c r="H493" s="31">
        <v>561.6</v>
      </c>
      <c r="I493" s="31" t="s">
        <v>8</v>
      </c>
    </row>
    <row r="494" spans="1:9" x14ac:dyDescent="0.25">
      <c r="A494" s="32">
        <v>45818</v>
      </c>
      <c r="B494" s="31" t="s">
        <v>97</v>
      </c>
      <c r="C494" s="31" t="s">
        <v>8</v>
      </c>
      <c r="D494" s="31">
        <v>10</v>
      </c>
      <c r="E494" s="31">
        <v>120</v>
      </c>
      <c r="F494" s="31">
        <v>1200</v>
      </c>
      <c r="G494" s="31">
        <v>1416</v>
      </c>
      <c r="H494" s="31">
        <v>216</v>
      </c>
      <c r="I494" s="31" t="s">
        <v>8</v>
      </c>
    </row>
    <row r="495" spans="1:9" x14ac:dyDescent="0.25">
      <c r="A495" s="32">
        <v>45818</v>
      </c>
      <c r="B495" s="31" t="s">
        <v>16</v>
      </c>
      <c r="C495" s="31" t="s">
        <v>8</v>
      </c>
      <c r="D495" s="31">
        <v>20</v>
      </c>
      <c r="E495" s="31">
        <v>175</v>
      </c>
      <c r="F495" s="31">
        <v>3500</v>
      </c>
      <c r="G495" s="31">
        <v>4130</v>
      </c>
      <c r="H495" s="31">
        <v>630</v>
      </c>
      <c r="I495" s="31" t="s">
        <v>8</v>
      </c>
    </row>
    <row r="496" spans="1:9" x14ac:dyDescent="0.25">
      <c r="A496" s="32">
        <v>45818</v>
      </c>
      <c r="B496" s="31" t="s">
        <v>42</v>
      </c>
      <c r="C496" s="31" t="s">
        <v>8</v>
      </c>
      <c r="D496" s="31">
        <v>210</v>
      </c>
      <c r="E496" s="31">
        <v>90</v>
      </c>
      <c r="F496" s="31">
        <v>18900</v>
      </c>
      <c r="G496" s="31">
        <v>22302</v>
      </c>
      <c r="H496" s="31">
        <v>3402</v>
      </c>
      <c r="I496" s="31" t="s">
        <v>8</v>
      </c>
    </row>
    <row r="497" spans="1:9" x14ac:dyDescent="0.25">
      <c r="A497" s="32">
        <v>45818</v>
      </c>
      <c r="B497" s="31" t="s">
        <v>98</v>
      </c>
      <c r="C497" s="31" t="s">
        <v>8</v>
      </c>
      <c r="D497" s="31">
        <v>210</v>
      </c>
      <c r="E497" s="31">
        <v>116</v>
      </c>
      <c r="F497" s="31">
        <v>24360</v>
      </c>
      <c r="G497" s="31">
        <v>28745</v>
      </c>
      <c r="H497" s="31">
        <v>4384.8</v>
      </c>
      <c r="I497" s="31" t="s">
        <v>8</v>
      </c>
    </row>
    <row r="498" spans="1:9" x14ac:dyDescent="0.25">
      <c r="A498" s="32">
        <v>45818</v>
      </c>
      <c r="B498" s="31" t="s">
        <v>83</v>
      </c>
      <c r="C498" s="31" t="s">
        <v>8</v>
      </c>
      <c r="D498" s="31">
        <v>26</v>
      </c>
      <c r="E498" s="31">
        <v>116</v>
      </c>
      <c r="F498" s="31">
        <v>3016</v>
      </c>
      <c r="G498" s="31">
        <v>3559</v>
      </c>
      <c r="H498" s="31">
        <v>542.88</v>
      </c>
      <c r="I498" s="31" t="s">
        <v>8</v>
      </c>
    </row>
    <row r="499" spans="1:9" x14ac:dyDescent="0.25">
      <c r="A499" s="32">
        <v>45818</v>
      </c>
      <c r="B499" s="31" t="s">
        <v>98</v>
      </c>
      <c r="C499" s="31" t="s">
        <v>8</v>
      </c>
      <c r="D499" s="31">
        <v>26</v>
      </c>
      <c r="E499" s="31">
        <v>115</v>
      </c>
      <c r="F499" s="31">
        <v>230</v>
      </c>
      <c r="G499" s="31">
        <v>256</v>
      </c>
      <c r="H499" s="31">
        <v>41.4</v>
      </c>
      <c r="I499" s="31" t="s">
        <v>8</v>
      </c>
    </row>
    <row r="500" spans="1:9" x14ac:dyDescent="0.25">
      <c r="A500" s="32">
        <v>45819</v>
      </c>
      <c r="B500" s="31" t="s">
        <v>97</v>
      </c>
      <c r="C500" s="31" t="s">
        <v>8</v>
      </c>
      <c r="D500" s="31">
        <v>5</v>
      </c>
      <c r="E500" s="31">
        <v>180</v>
      </c>
      <c r="F500" s="31">
        <v>900</v>
      </c>
      <c r="G500" s="31">
        <v>1062</v>
      </c>
      <c r="H500" s="31">
        <v>162</v>
      </c>
      <c r="I500" s="31" t="s">
        <v>8</v>
      </c>
    </row>
    <row r="501" spans="1:9" x14ac:dyDescent="0.25">
      <c r="A501" s="32">
        <v>45819</v>
      </c>
      <c r="B501" s="31" t="s">
        <v>98</v>
      </c>
      <c r="C501" s="31" t="s">
        <v>8</v>
      </c>
      <c r="D501" s="31">
        <v>2</v>
      </c>
      <c r="E501" s="31">
        <v>250</v>
      </c>
      <c r="F501" s="31">
        <v>500</v>
      </c>
      <c r="G501" s="31">
        <v>590</v>
      </c>
      <c r="H501" s="31">
        <v>90</v>
      </c>
      <c r="I501" s="31" t="s">
        <v>8</v>
      </c>
    </row>
    <row r="502" spans="1:9" x14ac:dyDescent="0.25">
      <c r="A502" s="32">
        <v>45819</v>
      </c>
      <c r="B502" s="31" t="s">
        <v>60</v>
      </c>
      <c r="C502" s="31" t="s">
        <v>8</v>
      </c>
      <c r="D502" s="31">
        <v>20</v>
      </c>
      <c r="E502" s="31">
        <v>180</v>
      </c>
      <c r="F502" s="31">
        <v>3600</v>
      </c>
      <c r="G502" s="31">
        <v>4248</v>
      </c>
      <c r="H502" s="31">
        <v>648</v>
      </c>
      <c r="I502" s="31" t="s">
        <v>8</v>
      </c>
    </row>
    <row r="503" spans="1:9" x14ac:dyDescent="0.25">
      <c r="A503" s="32">
        <v>45819</v>
      </c>
      <c r="B503" s="31" t="s">
        <v>96</v>
      </c>
      <c r="C503" s="31" t="s">
        <v>8</v>
      </c>
      <c r="D503" s="31">
        <v>420</v>
      </c>
      <c r="E503" s="31">
        <v>55</v>
      </c>
      <c r="F503" s="31">
        <v>23100</v>
      </c>
      <c r="G503" s="31">
        <v>27258</v>
      </c>
      <c r="H503" s="31">
        <v>4158</v>
      </c>
      <c r="I503" s="31" t="s">
        <v>8</v>
      </c>
    </row>
    <row r="504" spans="1:9" x14ac:dyDescent="0.25">
      <c r="A504" s="32">
        <v>45819</v>
      </c>
      <c r="B504" s="31" t="s">
        <v>10</v>
      </c>
      <c r="C504" s="31" t="s">
        <v>8</v>
      </c>
      <c r="D504" s="31">
        <v>26</v>
      </c>
      <c r="E504" s="31">
        <v>125</v>
      </c>
      <c r="F504" s="31">
        <v>3250</v>
      </c>
      <c r="G504" s="31">
        <v>3835</v>
      </c>
      <c r="H504" s="31">
        <v>585</v>
      </c>
      <c r="I504" s="31" t="s">
        <v>8</v>
      </c>
    </row>
    <row r="505" spans="1:9" x14ac:dyDescent="0.25">
      <c r="A505" s="32">
        <v>45819</v>
      </c>
      <c r="B505" s="31" t="s">
        <v>44</v>
      </c>
      <c r="C505" s="31" t="s">
        <v>8</v>
      </c>
      <c r="D505" s="31">
        <v>104</v>
      </c>
      <c r="E505" s="31">
        <v>112</v>
      </c>
      <c r="F505" s="31">
        <v>11648</v>
      </c>
      <c r="G505" s="31">
        <v>13745</v>
      </c>
      <c r="H505" s="31">
        <v>2096.64</v>
      </c>
      <c r="I505" s="31" t="s">
        <v>8</v>
      </c>
    </row>
    <row r="506" spans="1:9" x14ac:dyDescent="0.25">
      <c r="A506" s="32">
        <v>45819</v>
      </c>
      <c r="B506" s="31" t="s">
        <v>94</v>
      </c>
      <c r="C506" s="31" t="s">
        <v>8</v>
      </c>
      <c r="D506" s="31">
        <v>30</v>
      </c>
      <c r="E506" s="31">
        <v>170</v>
      </c>
      <c r="F506" s="31">
        <v>5100</v>
      </c>
      <c r="G506" s="31">
        <v>6018</v>
      </c>
      <c r="H506" s="31">
        <v>918</v>
      </c>
      <c r="I506" s="31" t="s">
        <v>8</v>
      </c>
    </row>
    <row r="507" spans="1:9" x14ac:dyDescent="0.25">
      <c r="A507" s="32">
        <v>45819</v>
      </c>
      <c r="B507" s="31" t="s">
        <v>63</v>
      </c>
      <c r="C507" s="31" t="s">
        <v>8</v>
      </c>
      <c r="D507" s="31">
        <v>100</v>
      </c>
      <c r="E507" s="31">
        <v>195</v>
      </c>
      <c r="F507" s="31">
        <v>19500</v>
      </c>
      <c r="G507" s="31">
        <v>23010</v>
      </c>
      <c r="H507" s="31">
        <v>3510</v>
      </c>
      <c r="I507" s="31" t="s">
        <v>8</v>
      </c>
    </row>
    <row r="508" spans="1:9" x14ac:dyDescent="0.25">
      <c r="A508" s="32">
        <v>45819</v>
      </c>
      <c r="B508" s="31" t="s">
        <v>95</v>
      </c>
      <c r="C508" s="31" t="s">
        <v>8</v>
      </c>
      <c r="D508" s="31">
        <v>220</v>
      </c>
      <c r="E508" s="31">
        <v>55</v>
      </c>
      <c r="F508" s="31">
        <v>12100</v>
      </c>
      <c r="G508" s="31">
        <v>14278</v>
      </c>
      <c r="H508" s="31">
        <v>2178</v>
      </c>
      <c r="I508" s="31" t="s">
        <v>8</v>
      </c>
    </row>
    <row r="509" spans="1:9" x14ac:dyDescent="0.25">
      <c r="A509" s="32">
        <v>45819</v>
      </c>
      <c r="B509" s="31" t="s">
        <v>87</v>
      </c>
      <c r="C509" s="31" t="s">
        <v>8</v>
      </c>
      <c r="D509" s="31">
        <v>50</v>
      </c>
      <c r="E509" s="31">
        <v>94</v>
      </c>
      <c r="F509" s="31">
        <v>4700</v>
      </c>
      <c r="G509" s="31">
        <v>5546</v>
      </c>
      <c r="H509" s="31">
        <v>846</v>
      </c>
      <c r="I509" s="31" t="s">
        <v>8</v>
      </c>
    </row>
    <row r="510" spans="1:9" x14ac:dyDescent="0.25">
      <c r="A510" s="32">
        <v>45821</v>
      </c>
      <c r="B510" s="31" t="s">
        <v>14</v>
      </c>
      <c r="C510" s="31" t="s">
        <v>8</v>
      </c>
      <c r="D510" s="31">
        <v>26</v>
      </c>
      <c r="E510" s="31">
        <v>108</v>
      </c>
      <c r="F510" s="31">
        <v>2808</v>
      </c>
      <c r="G510" s="31">
        <v>3313</v>
      </c>
      <c r="H510" s="31">
        <v>505.44</v>
      </c>
      <c r="I510" s="31" t="s">
        <v>8</v>
      </c>
    </row>
    <row r="511" spans="1:9" x14ac:dyDescent="0.25">
      <c r="A511" s="32">
        <v>45821</v>
      </c>
      <c r="B511" s="31" t="s">
        <v>42</v>
      </c>
      <c r="C511" s="31" t="s">
        <v>8</v>
      </c>
      <c r="D511" s="31">
        <v>122</v>
      </c>
      <c r="E511" s="31">
        <v>105.66</v>
      </c>
      <c r="F511" s="31">
        <v>12890</v>
      </c>
      <c r="G511" s="31">
        <v>15210</v>
      </c>
      <c r="H511" s="31">
        <v>2320.1999999999998</v>
      </c>
      <c r="I511" s="31" t="s">
        <v>8</v>
      </c>
    </row>
    <row r="512" spans="1:9" x14ac:dyDescent="0.25">
      <c r="A512" s="32">
        <v>45821</v>
      </c>
      <c r="B512" s="31" t="s">
        <v>98</v>
      </c>
      <c r="C512" s="31" t="s">
        <v>8</v>
      </c>
      <c r="D512" s="31">
        <v>210</v>
      </c>
      <c r="E512" s="31">
        <v>90</v>
      </c>
      <c r="F512" s="31">
        <v>18900</v>
      </c>
      <c r="G512" s="31">
        <v>22302</v>
      </c>
      <c r="H512" s="31">
        <v>3402</v>
      </c>
      <c r="I512" s="31" t="s">
        <v>8</v>
      </c>
    </row>
    <row r="513" spans="1:9" x14ac:dyDescent="0.25">
      <c r="A513" s="32">
        <v>45821</v>
      </c>
      <c r="B513" s="31" t="s">
        <v>98</v>
      </c>
      <c r="C513" s="31" t="s">
        <v>8</v>
      </c>
      <c r="D513" s="31">
        <v>210</v>
      </c>
      <c r="E513" s="31">
        <v>100</v>
      </c>
      <c r="F513" s="31">
        <v>21000</v>
      </c>
      <c r="G513" s="31">
        <v>24780</v>
      </c>
      <c r="H513" s="31">
        <v>3780</v>
      </c>
      <c r="I513" s="31" t="s">
        <v>8</v>
      </c>
    </row>
    <row r="514" spans="1:9" x14ac:dyDescent="0.25">
      <c r="A514" s="32">
        <v>45822</v>
      </c>
      <c r="B514" s="31" t="s">
        <v>96</v>
      </c>
      <c r="C514" s="31" t="s">
        <v>8</v>
      </c>
      <c r="D514" s="31">
        <v>35</v>
      </c>
      <c r="E514" s="31">
        <v>125</v>
      </c>
      <c r="F514" s="31">
        <v>4375</v>
      </c>
      <c r="G514" s="31">
        <v>5163</v>
      </c>
      <c r="H514" s="31">
        <v>787.5</v>
      </c>
      <c r="I514" s="31" t="s">
        <v>8</v>
      </c>
    </row>
    <row r="515" spans="1:9" x14ac:dyDescent="0.25">
      <c r="A515" s="32">
        <v>45822</v>
      </c>
      <c r="B515" s="31" t="s">
        <v>96</v>
      </c>
      <c r="C515" s="31" t="s">
        <v>8</v>
      </c>
      <c r="D515" s="31">
        <v>26</v>
      </c>
      <c r="E515" s="31">
        <v>115</v>
      </c>
      <c r="F515" s="31">
        <v>24570</v>
      </c>
      <c r="G515" s="31">
        <v>28993</v>
      </c>
      <c r="H515" s="31">
        <v>4422.5999999999995</v>
      </c>
      <c r="I515" s="31" t="s">
        <v>8</v>
      </c>
    </row>
    <row r="516" spans="1:9" x14ac:dyDescent="0.25">
      <c r="A516" s="32">
        <v>45822</v>
      </c>
      <c r="B516" s="31" t="s">
        <v>18</v>
      </c>
      <c r="C516" s="31" t="s">
        <v>8</v>
      </c>
      <c r="D516" s="31">
        <v>35</v>
      </c>
      <c r="E516" s="31">
        <v>85</v>
      </c>
      <c r="F516" s="31">
        <v>2975</v>
      </c>
      <c r="G516" s="31">
        <v>3511</v>
      </c>
      <c r="H516" s="31">
        <v>535.5</v>
      </c>
      <c r="I516" s="31" t="s">
        <v>8</v>
      </c>
    </row>
    <row r="517" spans="1:9" x14ac:dyDescent="0.25">
      <c r="A517" s="32">
        <v>45822</v>
      </c>
      <c r="B517" s="31" t="s">
        <v>55</v>
      </c>
      <c r="C517" s="31" t="s">
        <v>8</v>
      </c>
      <c r="D517" s="31">
        <v>98</v>
      </c>
      <c r="E517" s="31">
        <v>108</v>
      </c>
      <c r="F517" s="31">
        <v>10584</v>
      </c>
      <c r="G517" s="31">
        <v>12489</v>
      </c>
      <c r="H517" s="31">
        <v>1905.12</v>
      </c>
      <c r="I517" s="31" t="s">
        <v>8</v>
      </c>
    </row>
    <row r="518" spans="1:9" x14ac:dyDescent="0.25">
      <c r="A518" s="32">
        <v>45822</v>
      </c>
      <c r="B518" s="31" t="s">
        <v>98</v>
      </c>
      <c r="C518" s="31" t="s">
        <v>8</v>
      </c>
      <c r="D518" s="31">
        <v>37</v>
      </c>
      <c r="E518" s="31">
        <v>124.32</v>
      </c>
      <c r="F518" s="31">
        <v>4600</v>
      </c>
      <c r="G518" s="31">
        <v>5428</v>
      </c>
      <c r="H518" s="31">
        <v>828</v>
      </c>
      <c r="I518" s="31" t="s">
        <v>8</v>
      </c>
    </row>
    <row r="519" spans="1:9" x14ac:dyDescent="0.25">
      <c r="A519" s="32">
        <v>45822</v>
      </c>
      <c r="B519" s="31" t="s">
        <v>95</v>
      </c>
      <c r="C519" s="31" t="s">
        <v>8</v>
      </c>
      <c r="D519" s="31">
        <v>85</v>
      </c>
      <c r="E519" s="31">
        <v>90.12</v>
      </c>
      <c r="F519" s="31">
        <v>7660</v>
      </c>
      <c r="G519" s="31">
        <v>9039</v>
      </c>
      <c r="H519" s="31">
        <v>1378.8</v>
      </c>
      <c r="I519" s="31" t="s">
        <v>8</v>
      </c>
    </row>
    <row r="520" spans="1:9" x14ac:dyDescent="0.25">
      <c r="A520" s="32">
        <v>45822</v>
      </c>
      <c r="B520" s="31" t="s">
        <v>53</v>
      </c>
      <c r="C520" s="31" t="s">
        <v>8</v>
      </c>
      <c r="D520" s="31">
        <v>25</v>
      </c>
      <c r="E520" s="31">
        <v>175</v>
      </c>
      <c r="F520" s="31">
        <v>4375</v>
      </c>
      <c r="G520" s="31">
        <v>5163</v>
      </c>
      <c r="H520" s="31">
        <v>787.5</v>
      </c>
      <c r="I520" s="31" t="s">
        <v>8</v>
      </c>
    </row>
    <row r="521" spans="1:9" x14ac:dyDescent="0.25">
      <c r="A521" s="32">
        <v>45822</v>
      </c>
      <c r="B521" s="31" t="s">
        <v>13</v>
      </c>
      <c r="C521" s="31" t="s">
        <v>8</v>
      </c>
      <c r="D521" s="31">
        <v>840</v>
      </c>
      <c r="E521" s="31">
        <v>63.5</v>
      </c>
      <c r="F521" s="31">
        <v>53340</v>
      </c>
      <c r="G521" s="31">
        <v>62941</v>
      </c>
      <c r="H521" s="31">
        <v>9601.1999999999989</v>
      </c>
      <c r="I521" s="31" t="s">
        <v>8</v>
      </c>
    </row>
    <row r="522" spans="1:9" x14ac:dyDescent="0.25">
      <c r="A522" s="32">
        <v>45822</v>
      </c>
      <c r="B522" s="31" t="s">
        <v>98</v>
      </c>
      <c r="C522" s="31" t="s">
        <v>8</v>
      </c>
      <c r="D522" s="31">
        <v>210</v>
      </c>
      <c r="E522" s="31">
        <v>62</v>
      </c>
      <c r="F522" s="31">
        <v>13020</v>
      </c>
      <c r="G522" s="31">
        <v>15364</v>
      </c>
      <c r="H522" s="31">
        <v>2343.6</v>
      </c>
      <c r="I522" s="31" t="s">
        <v>8</v>
      </c>
    </row>
    <row r="523" spans="1:9" x14ac:dyDescent="0.25">
      <c r="A523" s="32">
        <v>45822</v>
      </c>
      <c r="B523" s="31" t="s">
        <v>98</v>
      </c>
      <c r="C523" s="31" t="s">
        <v>8</v>
      </c>
      <c r="D523" s="31">
        <v>52</v>
      </c>
      <c r="E523" s="31">
        <v>135.5</v>
      </c>
      <c r="F523" s="31">
        <v>7046</v>
      </c>
      <c r="G523" s="31">
        <v>8314</v>
      </c>
      <c r="H523" s="31">
        <v>1268.28</v>
      </c>
      <c r="I523" s="31" t="s">
        <v>8</v>
      </c>
    </row>
    <row r="524" spans="1:9" x14ac:dyDescent="0.25">
      <c r="A524" s="32">
        <v>45822</v>
      </c>
      <c r="B524" s="31" t="s">
        <v>102</v>
      </c>
      <c r="C524" s="31" t="s">
        <v>8</v>
      </c>
      <c r="D524" s="31">
        <v>26</v>
      </c>
      <c r="E524" s="31">
        <v>80</v>
      </c>
      <c r="F524" s="31">
        <v>2080</v>
      </c>
      <c r="G524" s="31">
        <v>2454</v>
      </c>
      <c r="H524" s="31">
        <v>374.4</v>
      </c>
      <c r="I524" s="31" t="s">
        <v>8</v>
      </c>
    </row>
    <row r="525" spans="1:9" x14ac:dyDescent="0.25">
      <c r="A525" s="32">
        <v>45822</v>
      </c>
      <c r="B525" s="31" t="s">
        <v>51</v>
      </c>
      <c r="C525" s="31" t="s">
        <v>8</v>
      </c>
      <c r="D525" s="31">
        <v>24</v>
      </c>
      <c r="E525" s="31">
        <v>160</v>
      </c>
      <c r="F525" s="31">
        <v>3840</v>
      </c>
      <c r="G525" s="31">
        <v>4531</v>
      </c>
      <c r="H525" s="31">
        <v>691.19999999999993</v>
      </c>
      <c r="I525" s="31" t="s">
        <v>8</v>
      </c>
    </row>
    <row r="526" spans="1:9" x14ac:dyDescent="0.25">
      <c r="A526" s="32">
        <v>45823</v>
      </c>
      <c r="B526" s="31" t="s">
        <v>98</v>
      </c>
      <c r="C526" s="31" t="s">
        <v>8</v>
      </c>
      <c r="D526" s="31">
        <v>5</v>
      </c>
      <c r="E526" s="31">
        <v>190</v>
      </c>
      <c r="F526" s="31">
        <v>950</v>
      </c>
      <c r="G526" s="31">
        <v>1121</v>
      </c>
      <c r="H526" s="31">
        <v>171</v>
      </c>
      <c r="I526" s="31" t="s">
        <v>8</v>
      </c>
    </row>
    <row r="527" spans="1:9" x14ac:dyDescent="0.25">
      <c r="A527" s="32">
        <v>45823</v>
      </c>
      <c r="B527" s="31" t="s">
        <v>94</v>
      </c>
      <c r="C527" s="31" t="s">
        <v>8</v>
      </c>
      <c r="D527" s="31">
        <v>78</v>
      </c>
      <c r="E527" s="31">
        <v>105</v>
      </c>
      <c r="F527" s="31">
        <v>8190</v>
      </c>
      <c r="G527" s="31">
        <v>9664</v>
      </c>
      <c r="H527" s="31">
        <v>1474.2</v>
      </c>
      <c r="I527" s="31" t="s">
        <v>8</v>
      </c>
    </row>
    <row r="528" spans="1:9" x14ac:dyDescent="0.25">
      <c r="A528" s="32">
        <v>45823</v>
      </c>
      <c r="B528" s="31" t="s">
        <v>98</v>
      </c>
      <c r="C528" s="31" t="s">
        <v>8</v>
      </c>
      <c r="D528" s="31">
        <v>210</v>
      </c>
      <c r="E528" s="31">
        <v>90</v>
      </c>
      <c r="F528" s="31">
        <v>18900</v>
      </c>
      <c r="G528" s="31">
        <v>22302</v>
      </c>
      <c r="H528" s="31">
        <v>3402</v>
      </c>
      <c r="I528" s="31" t="s">
        <v>8</v>
      </c>
    </row>
    <row r="529" spans="1:9" x14ac:dyDescent="0.25">
      <c r="A529" s="32">
        <v>45823</v>
      </c>
      <c r="B529" s="31" t="s">
        <v>94</v>
      </c>
      <c r="C529" s="31" t="s">
        <v>8</v>
      </c>
      <c r="D529" s="31">
        <v>130</v>
      </c>
      <c r="E529" s="31">
        <v>95</v>
      </c>
      <c r="F529" s="31">
        <v>12350</v>
      </c>
      <c r="G529" s="31">
        <v>14573</v>
      </c>
      <c r="H529" s="31">
        <v>2223</v>
      </c>
      <c r="I529" s="31" t="s">
        <v>8</v>
      </c>
    </row>
    <row r="530" spans="1:9" x14ac:dyDescent="0.25">
      <c r="A530" s="32">
        <v>45823</v>
      </c>
      <c r="B530" s="31" t="s">
        <v>17</v>
      </c>
      <c r="C530" s="31" t="s">
        <v>8</v>
      </c>
      <c r="D530" s="31">
        <v>5</v>
      </c>
      <c r="E530" s="31">
        <v>175</v>
      </c>
      <c r="F530" s="31">
        <v>875</v>
      </c>
      <c r="G530" s="31">
        <v>1033</v>
      </c>
      <c r="H530" s="31">
        <v>157.5</v>
      </c>
      <c r="I530" s="31" t="s">
        <v>8</v>
      </c>
    </row>
    <row r="531" spans="1:9" x14ac:dyDescent="0.25">
      <c r="A531" s="32">
        <v>45824</v>
      </c>
      <c r="B531" s="31" t="s">
        <v>67</v>
      </c>
      <c r="C531" s="31" t="s">
        <v>8</v>
      </c>
      <c r="D531" s="31">
        <v>52</v>
      </c>
      <c r="E531" s="31">
        <v>125</v>
      </c>
      <c r="F531" s="31">
        <v>6500</v>
      </c>
      <c r="G531" s="31">
        <v>7670</v>
      </c>
      <c r="H531" s="31">
        <v>1170</v>
      </c>
      <c r="I531" s="31" t="s">
        <v>8</v>
      </c>
    </row>
    <row r="532" spans="1:9" x14ac:dyDescent="0.25">
      <c r="A532" s="32">
        <v>45824</v>
      </c>
      <c r="B532" s="31" t="s">
        <v>72</v>
      </c>
      <c r="C532" s="31" t="s">
        <v>8</v>
      </c>
      <c r="D532" s="31">
        <v>156</v>
      </c>
      <c r="E532" s="31">
        <v>147.5</v>
      </c>
      <c r="F532" s="31">
        <v>23010</v>
      </c>
      <c r="G532" s="31">
        <v>27152</v>
      </c>
      <c r="H532" s="31">
        <v>4141.8</v>
      </c>
      <c r="I532" s="31" t="s">
        <v>8</v>
      </c>
    </row>
    <row r="533" spans="1:9" x14ac:dyDescent="0.25">
      <c r="A533" s="32">
        <v>45824</v>
      </c>
      <c r="B533" s="31" t="s">
        <v>98</v>
      </c>
      <c r="C533" s="31" t="s">
        <v>8</v>
      </c>
      <c r="D533" s="31">
        <v>3</v>
      </c>
      <c r="E533" s="31">
        <v>200</v>
      </c>
      <c r="F533" s="31">
        <v>600</v>
      </c>
      <c r="G533" s="31">
        <v>708</v>
      </c>
      <c r="H533" s="31">
        <v>108</v>
      </c>
      <c r="I533" s="31" t="s">
        <v>8</v>
      </c>
    </row>
    <row r="534" spans="1:9" x14ac:dyDescent="0.25">
      <c r="A534" s="32">
        <v>45824</v>
      </c>
      <c r="B534" s="31" t="s">
        <v>98</v>
      </c>
      <c r="C534" s="31" t="s">
        <v>8</v>
      </c>
      <c r="D534" s="31">
        <v>5</v>
      </c>
      <c r="E534" s="31">
        <v>160</v>
      </c>
      <c r="F534" s="31">
        <v>800</v>
      </c>
      <c r="G534" s="31">
        <v>944</v>
      </c>
      <c r="H534" s="31">
        <v>144</v>
      </c>
      <c r="I534" s="31" t="s">
        <v>8</v>
      </c>
    </row>
    <row r="535" spans="1:9" x14ac:dyDescent="0.25">
      <c r="A535" s="32">
        <v>45824</v>
      </c>
      <c r="B535" s="31" t="s">
        <v>30</v>
      </c>
      <c r="C535" s="31" t="s">
        <v>8</v>
      </c>
      <c r="D535" s="31">
        <v>25</v>
      </c>
      <c r="E535" s="31">
        <v>120</v>
      </c>
      <c r="F535" s="31">
        <v>3000</v>
      </c>
      <c r="G535" s="31">
        <v>3540</v>
      </c>
      <c r="H535" s="31">
        <v>540</v>
      </c>
      <c r="I535" s="31" t="s">
        <v>8</v>
      </c>
    </row>
    <row r="536" spans="1:9" x14ac:dyDescent="0.25">
      <c r="A536" s="32">
        <v>45824</v>
      </c>
      <c r="B536" s="31" t="s">
        <v>16</v>
      </c>
      <c r="C536" s="31" t="s">
        <v>8</v>
      </c>
      <c r="D536" s="31">
        <v>100</v>
      </c>
      <c r="E536" s="31">
        <v>335</v>
      </c>
      <c r="F536" s="31">
        <v>33500</v>
      </c>
      <c r="G536" s="31">
        <v>39530</v>
      </c>
      <c r="H536" s="31">
        <v>6030</v>
      </c>
      <c r="I536" s="31" t="s">
        <v>8</v>
      </c>
    </row>
    <row r="537" spans="1:9" x14ac:dyDescent="0.25">
      <c r="A537" s="32">
        <v>45825</v>
      </c>
      <c r="B537" s="31" t="s">
        <v>28</v>
      </c>
      <c r="C537" s="31" t="s">
        <v>8</v>
      </c>
      <c r="D537" s="31">
        <v>210</v>
      </c>
      <c r="E537" s="31">
        <v>110</v>
      </c>
      <c r="F537" s="31">
        <v>23100</v>
      </c>
      <c r="G537" s="31">
        <v>27258</v>
      </c>
      <c r="H537" s="31">
        <v>4158</v>
      </c>
      <c r="I537" s="31" t="s">
        <v>8</v>
      </c>
    </row>
    <row r="538" spans="1:9" x14ac:dyDescent="0.25">
      <c r="A538" s="32">
        <v>45825</v>
      </c>
      <c r="B538" s="31" t="s">
        <v>93</v>
      </c>
      <c r="C538" s="31" t="s">
        <v>8</v>
      </c>
      <c r="D538" s="31">
        <v>26</v>
      </c>
      <c r="E538" s="31">
        <v>102</v>
      </c>
      <c r="F538" s="31">
        <v>2652</v>
      </c>
      <c r="G538" s="31">
        <v>3129</v>
      </c>
      <c r="H538" s="31">
        <v>477.35999999999996</v>
      </c>
      <c r="I538" s="31" t="s">
        <v>8</v>
      </c>
    </row>
    <row r="539" spans="1:9" x14ac:dyDescent="0.25">
      <c r="A539" s="32">
        <v>45825</v>
      </c>
      <c r="B539" s="31" t="s">
        <v>95</v>
      </c>
      <c r="C539" s="31" t="s">
        <v>8</v>
      </c>
      <c r="D539" s="31">
        <v>1050</v>
      </c>
      <c r="E539" s="31">
        <v>54.5</v>
      </c>
      <c r="F539" s="31">
        <v>57225</v>
      </c>
      <c r="G539" s="31">
        <v>67526</v>
      </c>
      <c r="H539" s="31">
        <v>10300.5</v>
      </c>
      <c r="I539" s="31" t="s">
        <v>8</v>
      </c>
    </row>
    <row r="540" spans="1:9" x14ac:dyDescent="0.25">
      <c r="A540" s="32">
        <v>45825</v>
      </c>
      <c r="B540" s="31" t="s">
        <v>17</v>
      </c>
      <c r="C540" s="31" t="s">
        <v>8</v>
      </c>
      <c r="D540" s="31">
        <v>26</v>
      </c>
      <c r="E540" s="31">
        <v>115</v>
      </c>
      <c r="F540" s="31">
        <v>7750</v>
      </c>
      <c r="G540" s="31">
        <v>9145</v>
      </c>
      <c r="H540" s="31">
        <v>1395</v>
      </c>
      <c r="I540" s="31" t="s">
        <v>8</v>
      </c>
    </row>
    <row r="541" spans="1:9" x14ac:dyDescent="0.25">
      <c r="A541" s="32">
        <v>45825</v>
      </c>
      <c r="B541" s="31" t="s">
        <v>98</v>
      </c>
      <c r="C541" s="31" t="s">
        <v>8</v>
      </c>
      <c r="D541" s="31">
        <v>2</v>
      </c>
      <c r="E541" s="31">
        <v>299</v>
      </c>
      <c r="F541" s="31">
        <v>598</v>
      </c>
      <c r="G541" s="31">
        <v>706</v>
      </c>
      <c r="H541" s="31">
        <v>107.64</v>
      </c>
      <c r="I541" s="31" t="s">
        <v>8</v>
      </c>
    </row>
    <row r="542" spans="1:9" x14ac:dyDescent="0.25">
      <c r="A542" s="32">
        <v>45825</v>
      </c>
      <c r="B542" s="31" t="s">
        <v>98</v>
      </c>
      <c r="C542" s="31" t="s">
        <v>8</v>
      </c>
      <c r="D542" s="31">
        <v>25</v>
      </c>
      <c r="E542" s="31">
        <v>80</v>
      </c>
      <c r="F542" s="31">
        <v>2000</v>
      </c>
      <c r="G542" s="31">
        <v>2360</v>
      </c>
      <c r="H542" s="31">
        <v>360</v>
      </c>
      <c r="I542" s="31" t="s">
        <v>8</v>
      </c>
    </row>
    <row r="543" spans="1:9" x14ac:dyDescent="0.25">
      <c r="A543" s="32">
        <v>45825</v>
      </c>
      <c r="B543" s="31" t="s">
        <v>38</v>
      </c>
      <c r="C543" s="31" t="s">
        <v>8</v>
      </c>
      <c r="D543" s="31">
        <v>50</v>
      </c>
      <c r="E543" s="31">
        <v>50</v>
      </c>
      <c r="F543" s="31">
        <v>2500</v>
      </c>
      <c r="G543" s="31">
        <v>2625</v>
      </c>
      <c r="H543" s="31">
        <v>450</v>
      </c>
      <c r="I543" s="31" t="s">
        <v>8</v>
      </c>
    </row>
    <row r="544" spans="1:9" x14ac:dyDescent="0.25">
      <c r="A544" s="32">
        <v>45825</v>
      </c>
      <c r="B544" s="31" t="s">
        <v>98</v>
      </c>
      <c r="C544" s="31" t="s">
        <v>8</v>
      </c>
      <c r="D544" s="31">
        <v>840</v>
      </c>
      <c r="E544" s="31">
        <v>80</v>
      </c>
      <c r="F544" s="31">
        <v>67200</v>
      </c>
      <c r="G544" s="31">
        <v>79296</v>
      </c>
      <c r="H544" s="31">
        <v>12096</v>
      </c>
      <c r="I544" s="31" t="s">
        <v>8</v>
      </c>
    </row>
    <row r="545" spans="1:9" x14ac:dyDescent="0.25">
      <c r="A545" s="32">
        <v>45825</v>
      </c>
      <c r="B545" s="31" t="s">
        <v>81</v>
      </c>
      <c r="C545" s="31" t="s">
        <v>8</v>
      </c>
      <c r="D545" s="31">
        <v>62</v>
      </c>
      <c r="E545" s="31">
        <v>103.06</v>
      </c>
      <c r="F545" s="31">
        <v>6390</v>
      </c>
      <c r="G545" s="31">
        <v>7540</v>
      </c>
      <c r="H545" s="31">
        <v>1150.2</v>
      </c>
      <c r="I545" s="31" t="s">
        <v>8</v>
      </c>
    </row>
    <row r="546" spans="1:9" x14ac:dyDescent="0.25">
      <c r="A546" s="32">
        <v>45826</v>
      </c>
      <c r="B546" s="31" t="s">
        <v>94</v>
      </c>
      <c r="C546" s="31" t="s">
        <v>8</v>
      </c>
      <c r="D546" s="31">
        <v>78</v>
      </c>
      <c r="E546" s="31">
        <v>120</v>
      </c>
      <c r="F546" s="31">
        <v>9360</v>
      </c>
      <c r="G546" s="31">
        <v>11045</v>
      </c>
      <c r="H546" s="31">
        <v>1684.8</v>
      </c>
      <c r="I546" s="31" t="s">
        <v>8</v>
      </c>
    </row>
    <row r="547" spans="1:9" x14ac:dyDescent="0.25">
      <c r="A547" s="32">
        <v>45826</v>
      </c>
      <c r="B547" s="31" t="s">
        <v>80</v>
      </c>
      <c r="C547" s="31" t="s">
        <v>8</v>
      </c>
      <c r="D547" s="31">
        <v>26</v>
      </c>
      <c r="E547" s="31">
        <v>115</v>
      </c>
      <c r="F547" s="31">
        <v>44150</v>
      </c>
      <c r="G547" s="31">
        <v>52097</v>
      </c>
      <c r="H547" s="31">
        <v>7947</v>
      </c>
      <c r="I547" s="31" t="s">
        <v>8</v>
      </c>
    </row>
    <row r="548" spans="1:9" x14ac:dyDescent="0.25">
      <c r="A548" s="32">
        <v>45826</v>
      </c>
      <c r="B548" s="31" t="s">
        <v>94</v>
      </c>
      <c r="C548" s="31" t="s">
        <v>8</v>
      </c>
      <c r="D548" s="31">
        <v>2</v>
      </c>
      <c r="E548" s="31">
        <v>816.75</v>
      </c>
      <c r="F548" s="31">
        <v>1633.5</v>
      </c>
      <c r="G548" s="31">
        <v>1928</v>
      </c>
      <c r="H548" s="31">
        <v>294.02999999999997</v>
      </c>
      <c r="I548" s="31" t="s">
        <v>8</v>
      </c>
    </row>
    <row r="549" spans="1:9" x14ac:dyDescent="0.25">
      <c r="A549" s="32">
        <v>45826</v>
      </c>
      <c r="B549" s="31" t="s">
        <v>98</v>
      </c>
      <c r="C549" s="31" t="s">
        <v>8</v>
      </c>
      <c r="D549" s="31">
        <v>6</v>
      </c>
      <c r="E549" s="31">
        <v>304.8</v>
      </c>
      <c r="F549" s="31">
        <v>1828.8</v>
      </c>
      <c r="G549" s="31">
        <v>2158</v>
      </c>
      <c r="H549" s="31">
        <v>329.18399999999997</v>
      </c>
      <c r="I549" s="31" t="s">
        <v>8</v>
      </c>
    </row>
    <row r="550" spans="1:9" x14ac:dyDescent="0.25">
      <c r="A550" s="32">
        <v>45826</v>
      </c>
      <c r="B550" s="31" t="s">
        <v>98</v>
      </c>
      <c r="C550" s="31" t="s">
        <v>8</v>
      </c>
      <c r="D550" s="31">
        <v>150</v>
      </c>
      <c r="E550" s="31">
        <v>270</v>
      </c>
      <c r="F550" s="31">
        <v>40500</v>
      </c>
      <c r="G550" s="31">
        <v>47790</v>
      </c>
      <c r="H550" s="31">
        <v>7290</v>
      </c>
      <c r="I550" s="31" t="s">
        <v>8</v>
      </c>
    </row>
    <row r="551" spans="1:9" x14ac:dyDescent="0.25">
      <c r="A551" s="32">
        <v>45828</v>
      </c>
      <c r="B551" s="31" t="s">
        <v>98</v>
      </c>
      <c r="C551" s="31" t="s">
        <v>8</v>
      </c>
      <c r="D551" s="31">
        <v>425</v>
      </c>
      <c r="E551" s="31">
        <v>123.41</v>
      </c>
      <c r="F551" s="31">
        <v>52450</v>
      </c>
      <c r="G551" s="31">
        <v>61891</v>
      </c>
      <c r="H551" s="31">
        <v>9441</v>
      </c>
      <c r="I551" s="31" t="s">
        <v>8</v>
      </c>
    </row>
    <row r="552" spans="1:9" x14ac:dyDescent="0.25">
      <c r="A552" s="32">
        <v>45828</v>
      </c>
      <c r="B552" s="31" t="s">
        <v>86</v>
      </c>
      <c r="C552" s="31" t="s">
        <v>8</v>
      </c>
      <c r="D552" s="31">
        <v>420</v>
      </c>
      <c r="E552" s="31">
        <v>76</v>
      </c>
      <c r="F552" s="31">
        <v>31920</v>
      </c>
      <c r="G552" s="31">
        <v>37666</v>
      </c>
      <c r="H552" s="31">
        <v>5745.5999999999995</v>
      </c>
      <c r="I552" s="31" t="s">
        <v>8</v>
      </c>
    </row>
    <row r="553" spans="1:9" x14ac:dyDescent="0.25">
      <c r="A553" s="32">
        <v>45828</v>
      </c>
      <c r="B553" s="31" t="s">
        <v>98</v>
      </c>
      <c r="C553" s="31" t="s">
        <v>8</v>
      </c>
      <c r="D553" s="31">
        <v>52</v>
      </c>
      <c r="E553" s="31">
        <v>115</v>
      </c>
      <c r="F553" s="31">
        <v>5980</v>
      </c>
      <c r="G553" s="31">
        <v>7056</v>
      </c>
      <c r="H553" s="31">
        <v>1076.3999999999999</v>
      </c>
      <c r="I553" s="31" t="s">
        <v>8</v>
      </c>
    </row>
    <row r="554" spans="1:9" x14ac:dyDescent="0.25">
      <c r="A554" s="32">
        <v>45828</v>
      </c>
      <c r="B554" s="31" t="s">
        <v>11</v>
      </c>
      <c r="C554" s="31" t="s">
        <v>8</v>
      </c>
      <c r="D554" s="31">
        <v>70</v>
      </c>
      <c r="E554" s="31">
        <v>70</v>
      </c>
      <c r="F554" s="31">
        <v>4900</v>
      </c>
      <c r="G554" s="31">
        <v>5782</v>
      </c>
      <c r="H554" s="31">
        <v>882</v>
      </c>
      <c r="I554" s="31" t="s">
        <v>8</v>
      </c>
    </row>
    <row r="555" spans="1:9" x14ac:dyDescent="0.25">
      <c r="A555" s="32">
        <v>45828</v>
      </c>
      <c r="B555" s="31" t="s">
        <v>98</v>
      </c>
      <c r="C555" s="31" t="s">
        <v>8</v>
      </c>
      <c r="D555" s="31">
        <v>10</v>
      </c>
      <c r="E555" s="31">
        <v>60</v>
      </c>
      <c r="F555" s="31">
        <v>600</v>
      </c>
      <c r="G555" s="31">
        <v>630</v>
      </c>
      <c r="H555" s="31">
        <v>108</v>
      </c>
      <c r="I555" s="31" t="s">
        <v>8</v>
      </c>
    </row>
    <row r="556" spans="1:9" x14ac:dyDescent="0.25">
      <c r="A556" s="32">
        <v>45828</v>
      </c>
      <c r="B556" s="31" t="s">
        <v>14</v>
      </c>
      <c r="C556" s="31" t="s">
        <v>8</v>
      </c>
      <c r="D556" s="31">
        <v>52</v>
      </c>
      <c r="E556" s="31">
        <v>108</v>
      </c>
      <c r="F556" s="31">
        <v>5616</v>
      </c>
      <c r="G556" s="31">
        <v>6627</v>
      </c>
      <c r="H556" s="31">
        <v>1010.88</v>
      </c>
      <c r="I556" s="31" t="s">
        <v>8</v>
      </c>
    </row>
    <row r="557" spans="1:9" x14ac:dyDescent="0.25">
      <c r="A557" s="32">
        <v>45828</v>
      </c>
      <c r="B557" s="31" t="s">
        <v>94</v>
      </c>
      <c r="C557" s="31" t="s">
        <v>8</v>
      </c>
      <c r="D557" s="31">
        <v>630</v>
      </c>
      <c r="E557" s="31">
        <v>75</v>
      </c>
      <c r="F557" s="31">
        <v>47250</v>
      </c>
      <c r="G557" s="31">
        <v>55755</v>
      </c>
      <c r="H557" s="31">
        <v>8505</v>
      </c>
      <c r="I557" s="31" t="s">
        <v>8</v>
      </c>
    </row>
    <row r="558" spans="1:9" x14ac:dyDescent="0.25">
      <c r="A558" s="32">
        <v>45828</v>
      </c>
      <c r="B558" s="31" t="s">
        <v>85</v>
      </c>
      <c r="C558" s="31" t="s">
        <v>8</v>
      </c>
      <c r="D558" s="31">
        <v>5</v>
      </c>
      <c r="E558" s="31">
        <v>60</v>
      </c>
      <c r="F558" s="31">
        <v>300</v>
      </c>
      <c r="G558" s="31">
        <v>315</v>
      </c>
      <c r="H558" s="31">
        <v>54</v>
      </c>
      <c r="I558" s="31" t="s">
        <v>8</v>
      </c>
    </row>
    <row r="559" spans="1:9" x14ac:dyDescent="0.25">
      <c r="A559" s="32">
        <v>45828</v>
      </c>
      <c r="B559" s="31" t="s">
        <v>94</v>
      </c>
      <c r="C559" s="31" t="s">
        <v>8</v>
      </c>
      <c r="D559" s="31">
        <v>210</v>
      </c>
      <c r="E559" s="31">
        <v>86</v>
      </c>
      <c r="F559" s="31">
        <v>18060</v>
      </c>
      <c r="G559" s="31">
        <v>21311</v>
      </c>
      <c r="H559" s="31">
        <v>3250.7999999999997</v>
      </c>
      <c r="I559" s="31" t="s">
        <v>8</v>
      </c>
    </row>
    <row r="560" spans="1:9" x14ac:dyDescent="0.25">
      <c r="A560" s="32">
        <v>45828</v>
      </c>
      <c r="B560" s="31" t="s">
        <v>96</v>
      </c>
      <c r="C560" s="31" t="s">
        <v>8</v>
      </c>
      <c r="D560" s="31">
        <v>96</v>
      </c>
      <c r="E560" s="31">
        <v>105.27</v>
      </c>
      <c r="F560" s="31">
        <v>10106</v>
      </c>
      <c r="G560" s="31">
        <v>11925</v>
      </c>
      <c r="H560" s="31">
        <v>1819.08</v>
      </c>
      <c r="I560" s="31" t="s">
        <v>8</v>
      </c>
    </row>
    <row r="561" spans="1:9" x14ac:dyDescent="0.25">
      <c r="A561" s="32">
        <v>45829</v>
      </c>
      <c r="B561" s="31" t="s">
        <v>26</v>
      </c>
      <c r="C561" s="31" t="s">
        <v>8</v>
      </c>
      <c r="D561" s="31">
        <v>135</v>
      </c>
      <c r="E561" s="31">
        <v>138.06</v>
      </c>
      <c r="F561" s="31">
        <v>18638</v>
      </c>
      <c r="G561" s="31">
        <v>21993</v>
      </c>
      <c r="H561" s="31">
        <v>3354.8399999999997</v>
      </c>
      <c r="I561" s="31" t="s">
        <v>8</v>
      </c>
    </row>
    <row r="562" spans="1:9" x14ac:dyDescent="0.25">
      <c r="A562" s="32">
        <v>45829</v>
      </c>
      <c r="B562" s="31" t="s">
        <v>96</v>
      </c>
      <c r="C562" s="31" t="s">
        <v>8</v>
      </c>
      <c r="D562" s="31">
        <v>52</v>
      </c>
      <c r="E562" s="31">
        <v>125</v>
      </c>
      <c r="F562" s="31">
        <v>6500</v>
      </c>
      <c r="G562" s="31">
        <v>7670</v>
      </c>
      <c r="H562" s="31">
        <v>1170</v>
      </c>
      <c r="I562" s="31" t="s">
        <v>8</v>
      </c>
    </row>
    <row r="563" spans="1:9" x14ac:dyDescent="0.25">
      <c r="A563" s="32">
        <v>45829</v>
      </c>
      <c r="B563" s="31" t="s">
        <v>98</v>
      </c>
      <c r="C563" s="31" t="s">
        <v>8</v>
      </c>
      <c r="D563" s="31">
        <v>5</v>
      </c>
      <c r="E563" s="31">
        <v>115</v>
      </c>
      <c r="F563" s="31">
        <v>575</v>
      </c>
      <c r="G563" s="31">
        <v>679</v>
      </c>
      <c r="H563" s="31">
        <v>103.5</v>
      </c>
      <c r="I563" s="31" t="s">
        <v>8</v>
      </c>
    </row>
    <row r="564" spans="1:9" x14ac:dyDescent="0.25">
      <c r="A564" s="32">
        <v>45829</v>
      </c>
      <c r="B564" s="31" t="s">
        <v>98</v>
      </c>
      <c r="C564" s="31" t="s">
        <v>8</v>
      </c>
      <c r="D564" s="31">
        <v>1050</v>
      </c>
      <c r="E564" s="31">
        <v>71</v>
      </c>
      <c r="F564" s="31">
        <v>74550</v>
      </c>
      <c r="G564" s="31">
        <v>87969</v>
      </c>
      <c r="H564" s="31">
        <v>13419</v>
      </c>
      <c r="I564" s="31" t="s">
        <v>8</v>
      </c>
    </row>
    <row r="565" spans="1:9" x14ac:dyDescent="0.25">
      <c r="A565" s="32">
        <v>45829</v>
      </c>
      <c r="B565" s="31" t="s">
        <v>45</v>
      </c>
      <c r="C565" s="31" t="s">
        <v>8</v>
      </c>
      <c r="D565" s="31">
        <v>40</v>
      </c>
      <c r="E565" s="31">
        <v>120</v>
      </c>
      <c r="F565" s="31">
        <v>4800</v>
      </c>
      <c r="G565" s="31">
        <v>5664</v>
      </c>
      <c r="H565" s="31">
        <v>864</v>
      </c>
      <c r="I565" s="31" t="s">
        <v>8</v>
      </c>
    </row>
    <row r="566" spans="1:9" x14ac:dyDescent="0.25">
      <c r="A566" s="32">
        <v>45829</v>
      </c>
      <c r="B566" s="31" t="s">
        <v>39</v>
      </c>
      <c r="C566" s="31" t="s">
        <v>8</v>
      </c>
      <c r="D566" s="31">
        <v>25</v>
      </c>
      <c r="E566" s="31">
        <v>90</v>
      </c>
      <c r="F566" s="31">
        <v>2250</v>
      </c>
      <c r="G566" s="31">
        <v>2655</v>
      </c>
      <c r="H566" s="31">
        <v>405</v>
      </c>
      <c r="I566" s="31" t="s">
        <v>8</v>
      </c>
    </row>
    <row r="567" spans="1:9" x14ac:dyDescent="0.25">
      <c r="A567" s="32">
        <v>45829</v>
      </c>
      <c r="B567" s="31" t="s">
        <v>39</v>
      </c>
      <c r="C567" s="31" t="s">
        <v>8</v>
      </c>
      <c r="D567" s="31">
        <v>25</v>
      </c>
      <c r="E567" s="31">
        <v>90</v>
      </c>
      <c r="F567" s="31">
        <v>2250</v>
      </c>
      <c r="G567" s="31">
        <v>2655</v>
      </c>
      <c r="H567" s="31">
        <v>405</v>
      </c>
      <c r="I567" s="31" t="s">
        <v>8</v>
      </c>
    </row>
    <row r="568" spans="1:9" x14ac:dyDescent="0.25">
      <c r="A568" s="32">
        <v>45829</v>
      </c>
      <c r="B568" s="31" t="s">
        <v>47</v>
      </c>
      <c r="C568" s="31" t="s">
        <v>8</v>
      </c>
      <c r="D568" s="31">
        <v>1570</v>
      </c>
      <c r="E568" s="31">
        <v>102.04</v>
      </c>
      <c r="F568" s="31">
        <v>160200</v>
      </c>
      <c r="G568" s="31">
        <v>189036</v>
      </c>
      <c r="H568" s="31">
        <v>28836</v>
      </c>
      <c r="I568" s="31" t="s">
        <v>8</v>
      </c>
    </row>
    <row r="569" spans="1:9" x14ac:dyDescent="0.25">
      <c r="A569" s="32">
        <v>45829</v>
      </c>
      <c r="B569" s="31" t="s">
        <v>95</v>
      </c>
      <c r="C569" s="31" t="s">
        <v>8</v>
      </c>
      <c r="D569" s="31">
        <v>10</v>
      </c>
      <c r="E569" s="31">
        <v>125</v>
      </c>
      <c r="F569" s="31">
        <v>1250</v>
      </c>
      <c r="G569" s="31">
        <v>1475</v>
      </c>
      <c r="H569" s="31">
        <v>225</v>
      </c>
      <c r="I569" s="31" t="s">
        <v>8</v>
      </c>
    </row>
    <row r="570" spans="1:9" x14ac:dyDescent="0.25">
      <c r="A570" s="32">
        <v>45829</v>
      </c>
      <c r="B570" s="31" t="s">
        <v>94</v>
      </c>
      <c r="C570" s="31" t="s">
        <v>8</v>
      </c>
      <c r="D570" s="31">
        <v>35</v>
      </c>
      <c r="E570" s="31">
        <v>90</v>
      </c>
      <c r="F570" s="31">
        <v>3150</v>
      </c>
      <c r="G570" s="31">
        <v>3717</v>
      </c>
      <c r="H570" s="31">
        <v>567</v>
      </c>
      <c r="I570" s="31" t="s">
        <v>8</v>
      </c>
    </row>
    <row r="571" spans="1:9" x14ac:dyDescent="0.25">
      <c r="A571" s="32">
        <v>45830</v>
      </c>
      <c r="B571" s="31" t="s">
        <v>95</v>
      </c>
      <c r="C571" s="31" t="s">
        <v>8</v>
      </c>
      <c r="D571" s="31">
        <v>220</v>
      </c>
      <c r="E571" s="31">
        <v>55</v>
      </c>
      <c r="F571" s="31">
        <v>12100</v>
      </c>
      <c r="G571" s="31">
        <v>14278</v>
      </c>
      <c r="H571" s="31">
        <v>2178</v>
      </c>
      <c r="I571" s="31" t="s">
        <v>8</v>
      </c>
    </row>
    <row r="572" spans="1:9" x14ac:dyDescent="0.25">
      <c r="A572" s="32">
        <v>45830</v>
      </c>
      <c r="B572" s="31" t="s">
        <v>42</v>
      </c>
      <c r="C572" s="31" t="s">
        <v>8</v>
      </c>
      <c r="D572" s="31">
        <v>366</v>
      </c>
      <c r="E572" s="31">
        <v>109.18</v>
      </c>
      <c r="F572" s="31">
        <v>39960</v>
      </c>
      <c r="G572" s="31">
        <v>47153</v>
      </c>
      <c r="H572" s="31">
        <v>7192.8</v>
      </c>
      <c r="I572" s="31" t="s">
        <v>8</v>
      </c>
    </row>
    <row r="573" spans="1:9" x14ac:dyDescent="0.25">
      <c r="A573" s="32">
        <v>45830</v>
      </c>
      <c r="B573" s="31" t="s">
        <v>86</v>
      </c>
      <c r="C573" s="31" t="s">
        <v>8</v>
      </c>
      <c r="D573" s="31">
        <v>210</v>
      </c>
      <c r="E573" s="31">
        <v>76</v>
      </c>
      <c r="F573" s="31">
        <v>15960</v>
      </c>
      <c r="G573" s="31">
        <v>18833</v>
      </c>
      <c r="H573" s="31">
        <v>2872.7999999999997</v>
      </c>
      <c r="I573" s="31" t="s">
        <v>8</v>
      </c>
    </row>
    <row r="574" spans="1:9" x14ac:dyDescent="0.25">
      <c r="A574" s="32">
        <v>45830</v>
      </c>
      <c r="B574" s="31" t="s">
        <v>51</v>
      </c>
      <c r="C574" s="31" t="s">
        <v>8</v>
      </c>
      <c r="D574" s="31">
        <v>87</v>
      </c>
      <c r="E574" s="31">
        <v>99.31</v>
      </c>
      <c r="F574" s="31">
        <v>8640</v>
      </c>
      <c r="G574" s="31">
        <v>10195</v>
      </c>
      <c r="H574" s="31">
        <v>1555.2</v>
      </c>
      <c r="I574" s="31" t="s">
        <v>8</v>
      </c>
    </row>
    <row r="575" spans="1:9" x14ac:dyDescent="0.25">
      <c r="A575" s="32">
        <v>45830</v>
      </c>
      <c r="B575" s="31" t="s">
        <v>86</v>
      </c>
      <c r="C575" s="31" t="s">
        <v>8</v>
      </c>
      <c r="D575" s="31">
        <v>210</v>
      </c>
      <c r="E575" s="31">
        <v>76</v>
      </c>
      <c r="F575" s="31">
        <v>15960</v>
      </c>
      <c r="G575" s="31">
        <v>18833</v>
      </c>
      <c r="H575" s="31">
        <v>2872.7999999999997</v>
      </c>
      <c r="I575" s="31" t="s">
        <v>8</v>
      </c>
    </row>
    <row r="576" spans="1:9" x14ac:dyDescent="0.25">
      <c r="A576" s="32">
        <v>45830</v>
      </c>
      <c r="B576" s="31" t="s">
        <v>97</v>
      </c>
      <c r="C576" s="31" t="s">
        <v>8</v>
      </c>
      <c r="D576" s="31">
        <v>10</v>
      </c>
      <c r="E576" s="31">
        <v>160</v>
      </c>
      <c r="F576" s="31">
        <v>1600</v>
      </c>
      <c r="G576" s="31">
        <v>1888</v>
      </c>
      <c r="H576" s="31">
        <v>288</v>
      </c>
      <c r="I576" s="31" t="s">
        <v>8</v>
      </c>
    </row>
    <row r="577" spans="1:9" x14ac:dyDescent="0.25">
      <c r="A577" s="32">
        <v>45830</v>
      </c>
      <c r="B577" s="31" t="s">
        <v>98</v>
      </c>
      <c r="C577" s="31" t="s">
        <v>8</v>
      </c>
      <c r="D577" s="31">
        <v>20</v>
      </c>
      <c r="E577" s="31">
        <v>90</v>
      </c>
      <c r="F577" s="31">
        <v>1800</v>
      </c>
      <c r="G577" s="31">
        <v>2124</v>
      </c>
      <c r="H577" s="31">
        <v>324</v>
      </c>
      <c r="I577" s="31" t="s">
        <v>8</v>
      </c>
    </row>
    <row r="578" spans="1:9" x14ac:dyDescent="0.25">
      <c r="A578" s="32">
        <v>45830</v>
      </c>
      <c r="B578" s="31" t="s">
        <v>44</v>
      </c>
      <c r="C578" s="31" t="s">
        <v>8</v>
      </c>
      <c r="D578" s="31">
        <v>78</v>
      </c>
      <c r="E578" s="31">
        <v>103</v>
      </c>
      <c r="F578" s="31">
        <v>8034</v>
      </c>
      <c r="G578" s="31">
        <v>9480</v>
      </c>
      <c r="H578" s="31">
        <v>1446.12</v>
      </c>
      <c r="I578" s="31" t="s">
        <v>8</v>
      </c>
    </row>
    <row r="579" spans="1:9" x14ac:dyDescent="0.25">
      <c r="A579" s="32">
        <v>45830</v>
      </c>
      <c r="B579" s="31" t="s">
        <v>96</v>
      </c>
      <c r="C579" s="31" t="s">
        <v>8</v>
      </c>
      <c r="D579" s="31">
        <v>20</v>
      </c>
      <c r="E579" s="31">
        <v>83</v>
      </c>
      <c r="F579" s="31">
        <v>1660</v>
      </c>
      <c r="G579" s="31">
        <v>1959</v>
      </c>
      <c r="H579" s="31">
        <v>298.8</v>
      </c>
      <c r="I579" s="31" t="s">
        <v>8</v>
      </c>
    </row>
    <row r="580" spans="1:9" x14ac:dyDescent="0.25">
      <c r="A580" s="32">
        <v>45830</v>
      </c>
      <c r="B580" s="31" t="s">
        <v>67</v>
      </c>
      <c r="C580" s="31" t="s">
        <v>8</v>
      </c>
      <c r="D580" s="31">
        <v>52</v>
      </c>
      <c r="E580" s="31">
        <v>125</v>
      </c>
      <c r="F580" s="31">
        <v>6500</v>
      </c>
      <c r="G580" s="31">
        <v>7670</v>
      </c>
      <c r="H580" s="31">
        <v>1170</v>
      </c>
      <c r="I580" s="31" t="s">
        <v>8</v>
      </c>
    </row>
    <row r="581" spans="1:9" x14ac:dyDescent="0.25">
      <c r="A581" s="32">
        <v>45830</v>
      </c>
      <c r="B581" s="31" t="s">
        <v>23</v>
      </c>
      <c r="C581" s="31" t="s">
        <v>8</v>
      </c>
      <c r="D581" s="31">
        <v>5</v>
      </c>
      <c r="E581" s="31">
        <v>90</v>
      </c>
      <c r="F581" s="31">
        <v>450</v>
      </c>
      <c r="G581" s="31">
        <v>531</v>
      </c>
      <c r="H581" s="31">
        <v>81</v>
      </c>
      <c r="I581" s="31" t="s">
        <v>8</v>
      </c>
    </row>
    <row r="582" spans="1:9" x14ac:dyDescent="0.25">
      <c r="A582" s="32">
        <v>45831</v>
      </c>
      <c r="B582" s="31" t="s">
        <v>96</v>
      </c>
      <c r="C582" s="31" t="s">
        <v>8</v>
      </c>
      <c r="D582" s="31">
        <v>156</v>
      </c>
      <c r="E582" s="31">
        <v>95</v>
      </c>
      <c r="F582" s="31">
        <v>14820</v>
      </c>
      <c r="G582" s="31">
        <v>17488</v>
      </c>
      <c r="H582" s="31">
        <v>2667.6</v>
      </c>
      <c r="I582" s="31" t="s">
        <v>8</v>
      </c>
    </row>
    <row r="583" spans="1:9" x14ac:dyDescent="0.25">
      <c r="A583" s="32">
        <v>45831</v>
      </c>
      <c r="B583" s="31" t="s">
        <v>98</v>
      </c>
      <c r="C583" s="31" t="s">
        <v>8</v>
      </c>
      <c r="D583" s="31">
        <v>5250</v>
      </c>
      <c r="E583" s="31">
        <v>61</v>
      </c>
      <c r="F583" s="31">
        <v>320250</v>
      </c>
      <c r="G583" s="31">
        <v>377895</v>
      </c>
      <c r="H583" s="31">
        <v>57645</v>
      </c>
      <c r="I583" s="31" t="s">
        <v>8</v>
      </c>
    </row>
    <row r="584" spans="1:9" x14ac:dyDescent="0.25">
      <c r="A584" s="32">
        <v>45831</v>
      </c>
      <c r="B584" s="31" t="s">
        <v>98</v>
      </c>
      <c r="C584" s="31" t="s">
        <v>8</v>
      </c>
      <c r="D584" s="31">
        <v>26</v>
      </c>
      <c r="E584" s="31">
        <v>120</v>
      </c>
      <c r="F584" s="31">
        <v>3120</v>
      </c>
      <c r="G584" s="31">
        <v>3682</v>
      </c>
      <c r="H584" s="31">
        <v>561.6</v>
      </c>
      <c r="I584" s="31" t="s">
        <v>8</v>
      </c>
    </row>
    <row r="585" spans="1:9" x14ac:dyDescent="0.25">
      <c r="A585" s="32">
        <v>45831</v>
      </c>
      <c r="B585" s="31" t="s">
        <v>98</v>
      </c>
      <c r="C585" s="31" t="s">
        <v>8</v>
      </c>
      <c r="D585" s="31">
        <v>26</v>
      </c>
      <c r="E585" s="31">
        <v>115</v>
      </c>
      <c r="F585" s="31">
        <v>2990</v>
      </c>
      <c r="G585" s="31">
        <v>3528</v>
      </c>
      <c r="H585" s="31">
        <v>538.19999999999993</v>
      </c>
      <c r="I585" s="31" t="s">
        <v>8</v>
      </c>
    </row>
    <row r="586" spans="1:9" x14ac:dyDescent="0.25">
      <c r="A586" s="32">
        <v>45831</v>
      </c>
      <c r="B586" s="31" t="s">
        <v>93</v>
      </c>
      <c r="C586" s="31" t="s">
        <v>8</v>
      </c>
      <c r="D586" s="31">
        <v>52</v>
      </c>
      <c r="E586" s="31">
        <v>102</v>
      </c>
      <c r="F586" s="31">
        <v>5304</v>
      </c>
      <c r="G586" s="31">
        <v>6259</v>
      </c>
      <c r="H586" s="31">
        <v>954.71999999999991</v>
      </c>
      <c r="I586" s="31" t="s">
        <v>8</v>
      </c>
    </row>
    <row r="587" spans="1:9" x14ac:dyDescent="0.25">
      <c r="A587" s="32">
        <v>45831</v>
      </c>
      <c r="B587" s="31" t="s">
        <v>93</v>
      </c>
      <c r="C587" s="31" t="s">
        <v>8</v>
      </c>
      <c r="D587" s="31">
        <v>420</v>
      </c>
      <c r="E587" s="31">
        <v>80</v>
      </c>
      <c r="F587" s="31">
        <v>33600</v>
      </c>
      <c r="G587" s="31">
        <v>39648</v>
      </c>
      <c r="H587" s="31">
        <v>6048</v>
      </c>
      <c r="I587" s="31" t="s">
        <v>8</v>
      </c>
    </row>
    <row r="588" spans="1:9" x14ac:dyDescent="0.25">
      <c r="A588" s="32">
        <v>45831</v>
      </c>
      <c r="B588" s="31" t="s">
        <v>94</v>
      </c>
      <c r="C588" s="31" t="s">
        <v>8</v>
      </c>
      <c r="D588" s="31">
        <v>600</v>
      </c>
      <c r="E588" s="31">
        <v>86.67</v>
      </c>
      <c r="F588" s="31">
        <v>52000</v>
      </c>
      <c r="G588" s="31">
        <v>61360</v>
      </c>
      <c r="H588" s="31">
        <v>9360</v>
      </c>
      <c r="I588" s="31" t="s">
        <v>8</v>
      </c>
    </row>
    <row r="589" spans="1:9" x14ac:dyDescent="0.25">
      <c r="A589" s="32">
        <v>45831</v>
      </c>
      <c r="B589" s="31" t="s">
        <v>95</v>
      </c>
      <c r="C589" s="31" t="s">
        <v>8</v>
      </c>
      <c r="D589" s="31">
        <v>220</v>
      </c>
      <c r="E589" s="31">
        <v>55</v>
      </c>
      <c r="F589" s="31">
        <v>12100</v>
      </c>
      <c r="G589" s="31">
        <v>14278</v>
      </c>
      <c r="H589" s="31">
        <v>2178</v>
      </c>
      <c r="I589" s="31" t="s">
        <v>8</v>
      </c>
    </row>
    <row r="590" spans="1:9" x14ac:dyDescent="0.25">
      <c r="A590" s="32">
        <v>45831</v>
      </c>
      <c r="B590" s="31" t="s">
        <v>97</v>
      </c>
      <c r="C590" s="31" t="s">
        <v>8</v>
      </c>
      <c r="D590" s="31">
        <v>35</v>
      </c>
      <c r="E590" s="31">
        <v>200</v>
      </c>
      <c r="F590" s="31">
        <v>7000</v>
      </c>
      <c r="G590" s="31">
        <v>8260</v>
      </c>
      <c r="H590" s="31">
        <v>1260</v>
      </c>
      <c r="I590" s="31" t="s">
        <v>8</v>
      </c>
    </row>
    <row r="591" spans="1:9" x14ac:dyDescent="0.25">
      <c r="A591" s="32">
        <v>45832</v>
      </c>
      <c r="B591" s="31" t="s">
        <v>43</v>
      </c>
      <c r="C591" s="31" t="s">
        <v>8</v>
      </c>
      <c r="D591" s="31">
        <v>62</v>
      </c>
      <c r="E591" s="31">
        <v>121.45</v>
      </c>
      <c r="F591" s="31">
        <v>7530</v>
      </c>
      <c r="G591" s="31">
        <v>8885</v>
      </c>
      <c r="H591" s="31">
        <v>1355.3999999999999</v>
      </c>
      <c r="I591" s="31" t="s">
        <v>8</v>
      </c>
    </row>
    <row r="592" spans="1:9" x14ac:dyDescent="0.25">
      <c r="A592" s="32">
        <v>45832</v>
      </c>
      <c r="B592" s="31" t="s">
        <v>97</v>
      </c>
      <c r="C592" s="31" t="s">
        <v>8</v>
      </c>
      <c r="D592" s="31">
        <v>26</v>
      </c>
      <c r="E592" s="31">
        <v>128</v>
      </c>
      <c r="F592" s="31">
        <v>3328</v>
      </c>
      <c r="G592" s="31">
        <v>3927</v>
      </c>
      <c r="H592" s="31">
        <v>599.04</v>
      </c>
      <c r="I592" s="31" t="s">
        <v>8</v>
      </c>
    </row>
    <row r="593" spans="1:9" x14ac:dyDescent="0.25">
      <c r="A593" s="32">
        <v>45832</v>
      </c>
      <c r="B593" s="31" t="s">
        <v>96</v>
      </c>
      <c r="C593" s="31" t="s">
        <v>8</v>
      </c>
      <c r="D593" s="31">
        <v>420</v>
      </c>
      <c r="E593" s="31">
        <v>55</v>
      </c>
      <c r="F593" s="31">
        <v>23100</v>
      </c>
      <c r="G593" s="31">
        <v>27258</v>
      </c>
      <c r="H593" s="31">
        <v>4158</v>
      </c>
      <c r="I593" s="31" t="s">
        <v>8</v>
      </c>
    </row>
    <row r="594" spans="1:9" x14ac:dyDescent="0.25">
      <c r="A594" s="32">
        <v>45832</v>
      </c>
      <c r="B594" s="31" t="s">
        <v>98</v>
      </c>
      <c r="C594" s="31" t="s">
        <v>8</v>
      </c>
      <c r="D594" s="31">
        <v>26</v>
      </c>
      <c r="E594" s="31">
        <v>115</v>
      </c>
      <c r="F594" s="31">
        <v>9790</v>
      </c>
      <c r="G594" s="31">
        <v>11162</v>
      </c>
      <c r="H594" s="31">
        <v>1762.2</v>
      </c>
      <c r="I594" s="31" t="s">
        <v>8</v>
      </c>
    </row>
    <row r="595" spans="1:9" x14ac:dyDescent="0.25">
      <c r="A595" s="32">
        <v>45832</v>
      </c>
      <c r="B595" s="31" t="s">
        <v>12</v>
      </c>
      <c r="C595" s="31" t="s">
        <v>8</v>
      </c>
      <c r="D595" s="31">
        <v>35</v>
      </c>
      <c r="E595" s="31">
        <v>75</v>
      </c>
      <c r="F595" s="31">
        <v>2625</v>
      </c>
      <c r="G595" s="31">
        <v>3097.5</v>
      </c>
      <c r="H595" s="31">
        <v>472.5</v>
      </c>
      <c r="I595" s="31" t="s">
        <v>8</v>
      </c>
    </row>
    <row r="596" spans="1:9" x14ac:dyDescent="0.25">
      <c r="A596" s="32">
        <v>45832</v>
      </c>
      <c r="B596" s="31" t="s">
        <v>89</v>
      </c>
      <c r="C596" s="31" t="s">
        <v>8</v>
      </c>
      <c r="D596" s="31">
        <v>26</v>
      </c>
      <c r="E596" s="31">
        <v>115</v>
      </c>
      <c r="F596" s="31">
        <v>27510</v>
      </c>
      <c r="G596" s="31">
        <v>32462</v>
      </c>
      <c r="H596" s="31">
        <v>4951.8</v>
      </c>
      <c r="I596" s="31" t="s">
        <v>8</v>
      </c>
    </row>
    <row r="597" spans="1:9" x14ac:dyDescent="0.25">
      <c r="A597" s="32">
        <v>45832</v>
      </c>
      <c r="B597" s="31" t="s">
        <v>95</v>
      </c>
      <c r="C597" s="31" t="s">
        <v>8</v>
      </c>
      <c r="D597" s="31">
        <v>5</v>
      </c>
      <c r="E597" s="31">
        <v>115</v>
      </c>
      <c r="F597" s="31">
        <v>575</v>
      </c>
      <c r="G597" s="31">
        <v>679</v>
      </c>
      <c r="H597" s="31">
        <v>103.5</v>
      </c>
      <c r="I597" s="31" t="s">
        <v>8</v>
      </c>
    </row>
    <row r="598" spans="1:9" x14ac:dyDescent="0.25">
      <c r="A598" s="32">
        <v>45832</v>
      </c>
      <c r="B598" s="31" t="s">
        <v>72</v>
      </c>
      <c r="C598" s="31" t="s">
        <v>8</v>
      </c>
      <c r="D598" s="31">
        <v>210</v>
      </c>
      <c r="E598" s="31">
        <v>153</v>
      </c>
      <c r="F598" s="31">
        <v>32130</v>
      </c>
      <c r="G598" s="31">
        <v>37913</v>
      </c>
      <c r="H598" s="31">
        <v>5783.4</v>
      </c>
      <c r="I598" s="31" t="s">
        <v>8</v>
      </c>
    </row>
    <row r="599" spans="1:9" x14ac:dyDescent="0.25">
      <c r="A599" s="32">
        <v>45832</v>
      </c>
      <c r="B599" s="31" t="s">
        <v>56</v>
      </c>
      <c r="C599" s="31" t="s">
        <v>8</v>
      </c>
      <c r="D599" s="31">
        <v>56</v>
      </c>
      <c r="E599" s="31">
        <v>154.11000000000001</v>
      </c>
      <c r="F599" s="31">
        <v>8630</v>
      </c>
      <c r="G599" s="31">
        <v>10183</v>
      </c>
      <c r="H599" s="31">
        <v>1553.3999999999999</v>
      </c>
      <c r="I599" s="31" t="s">
        <v>8</v>
      </c>
    </row>
    <row r="600" spans="1:9" x14ac:dyDescent="0.25">
      <c r="A600" s="32">
        <v>45833</v>
      </c>
      <c r="B600" s="31" t="s">
        <v>98</v>
      </c>
      <c r="C600" s="31" t="s">
        <v>8</v>
      </c>
      <c r="D600" s="31">
        <v>262</v>
      </c>
      <c r="E600" s="31">
        <v>106.98</v>
      </c>
      <c r="F600" s="31">
        <v>28030</v>
      </c>
      <c r="G600" s="31">
        <v>33075</v>
      </c>
      <c r="H600" s="31">
        <v>5045.3999999999996</v>
      </c>
      <c r="I600" s="31" t="s">
        <v>8</v>
      </c>
    </row>
    <row r="601" spans="1:9" x14ac:dyDescent="0.25">
      <c r="A601" s="32">
        <v>45833</v>
      </c>
      <c r="B601" s="31" t="s">
        <v>95</v>
      </c>
      <c r="C601" s="31" t="s">
        <v>8</v>
      </c>
      <c r="D601" s="31">
        <v>420</v>
      </c>
      <c r="E601" s="31">
        <v>54.5</v>
      </c>
      <c r="F601" s="31">
        <v>22890</v>
      </c>
      <c r="G601" s="31">
        <v>27010</v>
      </c>
      <c r="H601" s="31">
        <v>4120.2</v>
      </c>
      <c r="I601" s="31" t="s">
        <v>8</v>
      </c>
    </row>
    <row r="602" spans="1:9" x14ac:dyDescent="0.25">
      <c r="A602" s="32">
        <v>45833</v>
      </c>
      <c r="B602" s="31" t="s">
        <v>98</v>
      </c>
      <c r="C602" s="31" t="s">
        <v>8</v>
      </c>
      <c r="D602" s="31">
        <v>840</v>
      </c>
      <c r="E602" s="31">
        <v>71</v>
      </c>
      <c r="F602" s="31">
        <v>59640</v>
      </c>
      <c r="G602" s="31">
        <v>70375</v>
      </c>
      <c r="H602" s="31">
        <v>10735.199999999999</v>
      </c>
      <c r="I602" s="31" t="s">
        <v>8</v>
      </c>
    </row>
    <row r="603" spans="1:9" x14ac:dyDescent="0.25">
      <c r="A603" s="32">
        <v>45833</v>
      </c>
      <c r="B603" s="31" t="s">
        <v>96</v>
      </c>
      <c r="C603" s="31" t="s">
        <v>8</v>
      </c>
      <c r="D603" s="31">
        <v>26</v>
      </c>
      <c r="E603" s="31">
        <v>120</v>
      </c>
      <c r="F603" s="31">
        <v>3120</v>
      </c>
      <c r="G603" s="31">
        <v>3682</v>
      </c>
      <c r="H603" s="31">
        <v>561.6</v>
      </c>
      <c r="I603" s="31" t="s">
        <v>8</v>
      </c>
    </row>
    <row r="604" spans="1:9" x14ac:dyDescent="0.25">
      <c r="A604" s="32">
        <v>45833</v>
      </c>
      <c r="B604" s="31" t="s">
        <v>95</v>
      </c>
      <c r="C604" s="31" t="s">
        <v>8</v>
      </c>
      <c r="D604" s="31">
        <v>150</v>
      </c>
      <c r="E604" s="31">
        <v>163</v>
      </c>
      <c r="F604" s="31">
        <v>24450</v>
      </c>
      <c r="G604" s="31">
        <v>28851</v>
      </c>
      <c r="H604" s="31">
        <v>4401</v>
      </c>
      <c r="I604" s="31" t="s">
        <v>8</v>
      </c>
    </row>
    <row r="605" spans="1:9" x14ac:dyDescent="0.25">
      <c r="A605" s="32">
        <v>45833</v>
      </c>
      <c r="B605" s="31" t="s">
        <v>96</v>
      </c>
      <c r="C605" s="31" t="s">
        <v>8</v>
      </c>
      <c r="D605" s="31">
        <v>630</v>
      </c>
      <c r="E605" s="31">
        <v>59</v>
      </c>
      <c r="F605" s="31">
        <v>37170</v>
      </c>
      <c r="G605" s="31">
        <v>43861</v>
      </c>
      <c r="H605" s="31">
        <v>6690.5999999999995</v>
      </c>
      <c r="I605" s="31" t="s">
        <v>8</v>
      </c>
    </row>
    <row r="606" spans="1:9" x14ac:dyDescent="0.25">
      <c r="A606" s="32">
        <v>45833</v>
      </c>
      <c r="B606" s="31" t="s">
        <v>98</v>
      </c>
      <c r="C606" s="31" t="s">
        <v>8</v>
      </c>
      <c r="D606" s="31">
        <v>262</v>
      </c>
      <c r="E606" s="31">
        <v>149.24</v>
      </c>
      <c r="F606" s="31">
        <v>39100</v>
      </c>
      <c r="G606" s="31">
        <v>46138</v>
      </c>
      <c r="H606" s="31">
        <v>7038</v>
      </c>
      <c r="I606" s="31" t="s">
        <v>8</v>
      </c>
    </row>
    <row r="607" spans="1:9" x14ac:dyDescent="0.25">
      <c r="A607" s="32">
        <v>45835</v>
      </c>
      <c r="B607" s="31" t="s">
        <v>95</v>
      </c>
      <c r="C607" s="31" t="s">
        <v>8</v>
      </c>
      <c r="D607" s="31">
        <v>220</v>
      </c>
      <c r="E607" s="31">
        <v>55</v>
      </c>
      <c r="F607" s="31">
        <v>12100</v>
      </c>
      <c r="G607" s="31">
        <v>14278</v>
      </c>
      <c r="H607" s="31">
        <v>2178</v>
      </c>
      <c r="I607" s="31" t="s">
        <v>8</v>
      </c>
    </row>
    <row r="608" spans="1:9" x14ac:dyDescent="0.25">
      <c r="A608" s="32">
        <v>45835</v>
      </c>
      <c r="B608" s="31" t="s">
        <v>42</v>
      </c>
      <c r="C608" s="31" t="s">
        <v>8</v>
      </c>
      <c r="D608" s="31">
        <v>384</v>
      </c>
      <c r="E608" s="31">
        <v>103.1</v>
      </c>
      <c r="F608" s="31">
        <v>39590</v>
      </c>
      <c r="G608" s="31">
        <v>46716</v>
      </c>
      <c r="H608" s="31">
        <v>7126.2</v>
      </c>
      <c r="I608" s="31" t="s">
        <v>8</v>
      </c>
    </row>
    <row r="609" spans="1:9" x14ac:dyDescent="0.25">
      <c r="A609" s="32">
        <v>45835</v>
      </c>
      <c r="B609" s="31" t="s">
        <v>95</v>
      </c>
      <c r="C609" s="31" t="s">
        <v>8</v>
      </c>
      <c r="D609" s="31">
        <v>50</v>
      </c>
      <c r="E609" s="31">
        <v>96.7</v>
      </c>
      <c r="F609" s="31">
        <v>4835</v>
      </c>
      <c r="G609" s="31">
        <v>5705</v>
      </c>
      <c r="H609" s="31">
        <v>870.3</v>
      </c>
      <c r="I609" s="31" t="s">
        <v>8</v>
      </c>
    </row>
    <row r="610" spans="1:9" x14ac:dyDescent="0.25">
      <c r="A610" s="32">
        <v>45835</v>
      </c>
      <c r="B610" s="31" t="s">
        <v>98</v>
      </c>
      <c r="C610" s="31" t="s">
        <v>8</v>
      </c>
      <c r="D610" s="31">
        <v>840</v>
      </c>
      <c r="E610" s="31">
        <v>71</v>
      </c>
      <c r="F610" s="31">
        <v>59640</v>
      </c>
      <c r="G610" s="31">
        <v>70375</v>
      </c>
      <c r="H610" s="31">
        <v>10735.199999999999</v>
      </c>
      <c r="I610" s="31" t="s">
        <v>8</v>
      </c>
    </row>
    <row r="611" spans="1:9" x14ac:dyDescent="0.25">
      <c r="A611" s="32">
        <v>45835</v>
      </c>
      <c r="B611" s="31" t="s">
        <v>97</v>
      </c>
      <c r="C611" s="31" t="s">
        <v>8</v>
      </c>
      <c r="D611" s="31">
        <v>5</v>
      </c>
      <c r="E611" s="31">
        <v>160</v>
      </c>
      <c r="F611" s="31">
        <v>800</v>
      </c>
      <c r="G611" s="31">
        <v>944</v>
      </c>
      <c r="H611" s="31">
        <v>144</v>
      </c>
      <c r="I611" s="31" t="s">
        <v>8</v>
      </c>
    </row>
    <row r="612" spans="1:9" x14ac:dyDescent="0.25">
      <c r="A612" s="32">
        <v>45835</v>
      </c>
      <c r="B612" s="31" t="s">
        <v>98</v>
      </c>
      <c r="C612" s="31" t="s">
        <v>8</v>
      </c>
      <c r="D612" s="31">
        <v>104</v>
      </c>
      <c r="E612" s="31">
        <v>114.5</v>
      </c>
      <c r="F612" s="31">
        <v>11908</v>
      </c>
      <c r="G612" s="31">
        <v>14051</v>
      </c>
      <c r="H612" s="31">
        <v>2143.44</v>
      </c>
      <c r="I612" s="31" t="s">
        <v>8</v>
      </c>
    </row>
    <row r="613" spans="1:9" x14ac:dyDescent="0.25">
      <c r="A613" s="32">
        <v>45835</v>
      </c>
      <c r="B613" s="31" t="s">
        <v>93</v>
      </c>
      <c r="C613" s="31" t="s">
        <v>8</v>
      </c>
      <c r="D613" s="31">
        <v>215</v>
      </c>
      <c r="E613" s="31">
        <v>80.47</v>
      </c>
      <c r="F613" s="31">
        <v>17300</v>
      </c>
      <c r="G613" s="31">
        <v>20414</v>
      </c>
      <c r="H613" s="31">
        <v>3114</v>
      </c>
      <c r="I613" s="31" t="s">
        <v>8</v>
      </c>
    </row>
    <row r="614" spans="1:9" x14ac:dyDescent="0.25">
      <c r="A614" s="32">
        <v>45835</v>
      </c>
      <c r="B614" s="31" t="s">
        <v>91</v>
      </c>
      <c r="C614" s="31" t="s">
        <v>8</v>
      </c>
      <c r="D614" s="31">
        <v>210</v>
      </c>
      <c r="E614" s="31">
        <v>118</v>
      </c>
      <c r="F614" s="31">
        <v>24780</v>
      </c>
      <c r="G614" s="31">
        <v>29240</v>
      </c>
      <c r="H614" s="31">
        <v>4460.3999999999996</v>
      </c>
      <c r="I614" s="31" t="s">
        <v>8</v>
      </c>
    </row>
    <row r="615" spans="1:9" x14ac:dyDescent="0.25">
      <c r="A615" s="32">
        <v>45835</v>
      </c>
      <c r="B615" s="31" t="s">
        <v>93</v>
      </c>
      <c r="C615" s="31" t="s">
        <v>8</v>
      </c>
      <c r="D615" s="31">
        <v>130</v>
      </c>
      <c r="E615" s="31">
        <v>103.8</v>
      </c>
      <c r="F615" s="31">
        <v>13494</v>
      </c>
      <c r="G615" s="31">
        <v>15923</v>
      </c>
      <c r="H615" s="31">
        <v>2428.92</v>
      </c>
      <c r="I615" s="31" t="s">
        <v>8</v>
      </c>
    </row>
    <row r="616" spans="1:9" x14ac:dyDescent="0.25">
      <c r="A616" s="32">
        <v>45835</v>
      </c>
      <c r="B616" s="31" t="s">
        <v>47</v>
      </c>
      <c r="C616" s="31" t="s">
        <v>8</v>
      </c>
      <c r="D616" s="31">
        <v>1</v>
      </c>
      <c r="E616" s="31">
        <v>1800</v>
      </c>
      <c r="F616" s="31">
        <v>1800</v>
      </c>
      <c r="G616" s="31">
        <v>1890</v>
      </c>
      <c r="H616" s="31">
        <v>324</v>
      </c>
      <c r="I616" s="31" t="s">
        <v>8</v>
      </c>
    </row>
    <row r="617" spans="1:9" x14ac:dyDescent="0.25">
      <c r="A617" s="32">
        <v>45836</v>
      </c>
      <c r="B617" s="31" t="s">
        <v>98</v>
      </c>
      <c r="C617" s="31" t="s">
        <v>8</v>
      </c>
      <c r="D617" s="31">
        <v>26</v>
      </c>
      <c r="E617" s="31">
        <v>79</v>
      </c>
      <c r="F617" s="31">
        <v>2054</v>
      </c>
      <c r="G617" s="31">
        <v>2424</v>
      </c>
      <c r="H617" s="31">
        <v>369.71999999999997</v>
      </c>
      <c r="I617" s="31" t="s">
        <v>8</v>
      </c>
    </row>
    <row r="618" spans="1:9" x14ac:dyDescent="0.25">
      <c r="A618" s="32">
        <v>45836</v>
      </c>
      <c r="B618" s="31" t="s">
        <v>95</v>
      </c>
      <c r="C618" s="31" t="s">
        <v>8</v>
      </c>
      <c r="D618" s="31">
        <v>30</v>
      </c>
      <c r="E618" s="31">
        <v>170</v>
      </c>
      <c r="F618" s="31">
        <v>5100</v>
      </c>
      <c r="G618" s="31">
        <v>6018</v>
      </c>
      <c r="H618" s="31">
        <v>918</v>
      </c>
      <c r="I618" s="31" t="s">
        <v>8</v>
      </c>
    </row>
    <row r="619" spans="1:9" x14ac:dyDescent="0.25">
      <c r="A619" s="32">
        <v>45836</v>
      </c>
      <c r="B619" s="31" t="s">
        <v>98</v>
      </c>
      <c r="C619" s="31" t="s">
        <v>8</v>
      </c>
      <c r="D619" s="31">
        <v>1050</v>
      </c>
      <c r="E619" s="31">
        <v>69</v>
      </c>
      <c r="F619" s="31">
        <v>72450</v>
      </c>
      <c r="G619" s="31">
        <v>85491</v>
      </c>
      <c r="H619" s="31">
        <v>13041</v>
      </c>
      <c r="I619" s="31" t="s">
        <v>8</v>
      </c>
    </row>
    <row r="620" spans="1:9" x14ac:dyDescent="0.25">
      <c r="A620" s="32">
        <v>45836</v>
      </c>
      <c r="B620" s="31" t="s">
        <v>93</v>
      </c>
      <c r="C620" s="31" t="s">
        <v>8</v>
      </c>
      <c r="D620" s="31">
        <v>5</v>
      </c>
      <c r="E620" s="31">
        <v>60</v>
      </c>
      <c r="F620" s="31">
        <v>300</v>
      </c>
      <c r="G620" s="31">
        <v>315</v>
      </c>
      <c r="H620" s="31">
        <v>54</v>
      </c>
      <c r="I620" s="31" t="s">
        <v>8</v>
      </c>
    </row>
    <row r="621" spans="1:9" x14ac:dyDescent="0.25">
      <c r="A621" s="32">
        <v>45836</v>
      </c>
      <c r="B621" s="31" t="s">
        <v>98</v>
      </c>
      <c r="C621" s="31" t="s">
        <v>8</v>
      </c>
      <c r="D621" s="31">
        <v>26</v>
      </c>
      <c r="E621" s="31">
        <v>140</v>
      </c>
      <c r="F621" s="31">
        <v>3640</v>
      </c>
      <c r="G621" s="31">
        <v>4295</v>
      </c>
      <c r="H621" s="31">
        <v>655.19999999999993</v>
      </c>
      <c r="I621" s="31" t="s">
        <v>8</v>
      </c>
    </row>
    <row r="622" spans="1:9" x14ac:dyDescent="0.25">
      <c r="A622" s="32">
        <v>45836</v>
      </c>
      <c r="B622" s="31" t="s">
        <v>94</v>
      </c>
      <c r="C622" s="31" t="s">
        <v>8</v>
      </c>
      <c r="D622" s="31">
        <v>35</v>
      </c>
      <c r="E622" s="31">
        <v>75</v>
      </c>
      <c r="F622" s="31">
        <v>2625</v>
      </c>
      <c r="G622" s="31">
        <v>3098</v>
      </c>
      <c r="H622" s="31">
        <v>472.5</v>
      </c>
      <c r="I622" s="31" t="s">
        <v>8</v>
      </c>
    </row>
    <row r="623" spans="1:9" x14ac:dyDescent="0.25">
      <c r="A623" s="32">
        <v>45836</v>
      </c>
      <c r="B623" s="31" t="s">
        <v>12</v>
      </c>
      <c r="C623" s="31" t="s">
        <v>8</v>
      </c>
      <c r="D623" s="31">
        <v>70</v>
      </c>
      <c r="E623" s="31">
        <v>75</v>
      </c>
      <c r="F623" s="31">
        <v>5250</v>
      </c>
      <c r="G623" s="31">
        <v>6195</v>
      </c>
      <c r="H623" s="31">
        <v>945</v>
      </c>
      <c r="I623" s="31" t="s">
        <v>8</v>
      </c>
    </row>
    <row r="624" spans="1:9" x14ac:dyDescent="0.25">
      <c r="A624" s="32">
        <v>45836</v>
      </c>
      <c r="B624" s="31" t="s">
        <v>98</v>
      </c>
      <c r="C624" s="31" t="s">
        <v>8</v>
      </c>
      <c r="D624" s="31">
        <v>5</v>
      </c>
      <c r="E624" s="31">
        <v>90</v>
      </c>
      <c r="F624" s="31">
        <v>450</v>
      </c>
      <c r="G624" s="31">
        <v>531</v>
      </c>
      <c r="H624" s="31">
        <v>81</v>
      </c>
      <c r="I624" s="31" t="s">
        <v>8</v>
      </c>
    </row>
    <row r="625" spans="1:9" x14ac:dyDescent="0.25">
      <c r="A625" s="32">
        <v>45837</v>
      </c>
      <c r="B625" s="31" t="s">
        <v>94</v>
      </c>
      <c r="C625" s="31" t="s">
        <v>8</v>
      </c>
      <c r="D625" s="31">
        <v>104</v>
      </c>
      <c r="E625" s="31">
        <v>102.5</v>
      </c>
      <c r="F625" s="31">
        <v>10660</v>
      </c>
      <c r="G625" s="31">
        <v>12579</v>
      </c>
      <c r="H625" s="31">
        <v>1918.8</v>
      </c>
      <c r="I625" s="31" t="s">
        <v>8</v>
      </c>
    </row>
    <row r="626" spans="1:9" x14ac:dyDescent="0.25">
      <c r="A626" s="32">
        <v>45837</v>
      </c>
      <c r="B626" s="31" t="s">
        <v>65</v>
      </c>
      <c r="C626" s="31" t="s">
        <v>8</v>
      </c>
      <c r="D626" s="31">
        <v>26</v>
      </c>
      <c r="E626" s="31">
        <v>190</v>
      </c>
      <c r="F626" s="31">
        <v>4940</v>
      </c>
      <c r="G626" s="31">
        <v>5829</v>
      </c>
      <c r="H626" s="31">
        <v>889.19999999999993</v>
      </c>
      <c r="I626" s="31" t="s">
        <v>8</v>
      </c>
    </row>
    <row r="627" spans="1:9" x14ac:dyDescent="0.25">
      <c r="A627" s="32">
        <v>45837</v>
      </c>
      <c r="B627" s="31" t="s">
        <v>96</v>
      </c>
      <c r="C627" s="31" t="s">
        <v>8</v>
      </c>
      <c r="D627" s="31">
        <v>262</v>
      </c>
      <c r="E627" s="31">
        <v>87.37</v>
      </c>
      <c r="F627" s="31">
        <v>22890</v>
      </c>
      <c r="G627" s="31">
        <v>27010</v>
      </c>
      <c r="H627" s="31">
        <v>4120.2</v>
      </c>
      <c r="I627" s="31" t="s">
        <v>8</v>
      </c>
    </row>
    <row r="628" spans="1:9" x14ac:dyDescent="0.25">
      <c r="A628" s="32">
        <v>45837</v>
      </c>
      <c r="B628" s="31" t="s">
        <v>102</v>
      </c>
      <c r="C628" s="31" t="s">
        <v>8</v>
      </c>
      <c r="D628" s="31">
        <v>2</v>
      </c>
      <c r="E628" s="31">
        <v>201.75</v>
      </c>
      <c r="F628" s="31">
        <v>403.5</v>
      </c>
      <c r="G628" s="31">
        <v>476</v>
      </c>
      <c r="H628" s="31">
        <v>72.63</v>
      </c>
      <c r="I628" s="31" t="s">
        <v>8</v>
      </c>
    </row>
    <row r="629" spans="1:9" x14ac:dyDescent="0.25">
      <c r="A629" s="32">
        <v>45838</v>
      </c>
      <c r="B629" s="31" t="s">
        <v>91</v>
      </c>
      <c r="C629" s="31" t="s">
        <v>8</v>
      </c>
      <c r="D629" s="31">
        <v>35</v>
      </c>
      <c r="E629" s="31">
        <v>112</v>
      </c>
      <c r="F629" s="31">
        <v>3920</v>
      </c>
      <c r="G629" s="31">
        <v>4626</v>
      </c>
      <c r="H629" s="31">
        <v>705.6</v>
      </c>
      <c r="I629" s="31" t="s">
        <v>8</v>
      </c>
    </row>
    <row r="630" spans="1:9" x14ac:dyDescent="0.25">
      <c r="A630" s="32">
        <v>45838</v>
      </c>
      <c r="B630" s="31" t="s">
        <v>96</v>
      </c>
      <c r="C630" s="31" t="s">
        <v>8</v>
      </c>
      <c r="D630" s="31">
        <v>420</v>
      </c>
      <c r="E630" s="31">
        <v>56</v>
      </c>
      <c r="F630" s="31">
        <v>23520</v>
      </c>
      <c r="G630" s="31">
        <v>27754</v>
      </c>
      <c r="H630" s="31">
        <v>4233.5999999999995</v>
      </c>
      <c r="I630" s="31" t="s">
        <v>8</v>
      </c>
    </row>
    <row r="631" spans="1:9" x14ac:dyDescent="0.25">
      <c r="A631" s="32">
        <v>45838</v>
      </c>
      <c r="B631" s="31" t="s">
        <v>95</v>
      </c>
      <c r="C631" s="31" t="s">
        <v>8</v>
      </c>
      <c r="D631" s="31">
        <v>61</v>
      </c>
      <c r="E631" s="31">
        <v>84.26</v>
      </c>
      <c r="F631" s="31">
        <v>5140</v>
      </c>
      <c r="G631" s="31">
        <v>6065</v>
      </c>
      <c r="H631" s="31">
        <v>925.19999999999993</v>
      </c>
      <c r="I631" s="31" t="s">
        <v>8</v>
      </c>
    </row>
    <row r="632" spans="1:9" x14ac:dyDescent="0.25">
      <c r="A632" s="32">
        <v>45838</v>
      </c>
      <c r="B632" s="31" t="s">
        <v>98</v>
      </c>
      <c r="C632" s="31" t="s">
        <v>8</v>
      </c>
      <c r="D632" s="31">
        <v>420</v>
      </c>
      <c r="E632" s="31">
        <v>103</v>
      </c>
      <c r="F632" s="31">
        <v>43260</v>
      </c>
      <c r="G632" s="31">
        <v>51047</v>
      </c>
      <c r="H632" s="31">
        <v>7786.7999999999993</v>
      </c>
      <c r="I632" s="31" t="s">
        <v>8</v>
      </c>
    </row>
    <row r="633" spans="1:9" x14ac:dyDescent="0.25">
      <c r="A633" s="32">
        <v>45748</v>
      </c>
      <c r="B633" s="31" t="s">
        <v>104</v>
      </c>
      <c r="C633" s="31" t="s">
        <v>6</v>
      </c>
      <c r="D633" s="31">
        <v>6</v>
      </c>
      <c r="E633" s="31">
        <v>1450</v>
      </c>
      <c r="F633" s="31">
        <v>8700</v>
      </c>
      <c r="G633" s="31">
        <v>10266</v>
      </c>
      <c r="H633" s="31">
        <v>1566</v>
      </c>
      <c r="I633" s="31" t="s">
        <v>6</v>
      </c>
    </row>
    <row r="634" spans="1:9" x14ac:dyDescent="0.25">
      <c r="A634" s="32">
        <v>45748</v>
      </c>
      <c r="B634" s="31" t="s">
        <v>106</v>
      </c>
      <c r="C634" s="31" t="s">
        <v>6</v>
      </c>
      <c r="D634" s="31">
        <v>288</v>
      </c>
      <c r="E634" s="31">
        <v>3.63</v>
      </c>
      <c r="F634" s="31">
        <v>1045.6400000000001</v>
      </c>
      <c r="G634" s="31">
        <v>1233.8552000000002</v>
      </c>
      <c r="H634" s="31">
        <v>188.21520000000001</v>
      </c>
      <c r="I634" s="31" t="s">
        <v>6</v>
      </c>
    </row>
    <row r="635" spans="1:9" x14ac:dyDescent="0.25">
      <c r="A635" s="32">
        <v>45748</v>
      </c>
      <c r="B635" s="31" t="s">
        <v>115</v>
      </c>
      <c r="C635" s="31" t="s">
        <v>6</v>
      </c>
      <c r="D635" s="31">
        <v>250</v>
      </c>
      <c r="E635" s="31">
        <v>270</v>
      </c>
      <c r="F635" s="31">
        <v>67500</v>
      </c>
      <c r="G635" s="31">
        <v>79650</v>
      </c>
      <c r="H635" s="31">
        <v>12150</v>
      </c>
      <c r="I635" s="31" t="s">
        <v>6</v>
      </c>
    </row>
    <row r="636" spans="1:9" x14ac:dyDescent="0.25">
      <c r="A636" s="32">
        <v>45749</v>
      </c>
      <c r="B636" s="31" t="s">
        <v>131</v>
      </c>
      <c r="C636" s="31" t="s">
        <v>6</v>
      </c>
      <c r="D636" s="31">
        <v>26</v>
      </c>
      <c r="E636" s="31">
        <v>100.92</v>
      </c>
      <c r="F636" s="31">
        <v>2624</v>
      </c>
      <c r="G636" s="31">
        <v>3096.32</v>
      </c>
      <c r="H636" s="31">
        <v>472.32</v>
      </c>
      <c r="I636" s="31" t="s">
        <v>6</v>
      </c>
    </row>
    <row r="637" spans="1:9" x14ac:dyDescent="0.25">
      <c r="A637" s="32">
        <v>45751</v>
      </c>
      <c r="B637" s="31" t="s">
        <v>113</v>
      </c>
      <c r="C637" s="31" t="s">
        <v>6</v>
      </c>
      <c r="D637" s="31">
        <v>20</v>
      </c>
      <c r="E637" s="31">
        <v>240</v>
      </c>
      <c r="F637" s="31">
        <v>4800</v>
      </c>
      <c r="G637" s="31">
        <v>5664</v>
      </c>
      <c r="H637" s="31">
        <v>864</v>
      </c>
      <c r="I637" s="31" t="s">
        <v>6</v>
      </c>
    </row>
    <row r="638" spans="1:9" x14ac:dyDescent="0.25">
      <c r="A638" s="32">
        <v>45752</v>
      </c>
      <c r="B638" s="31" t="s">
        <v>112</v>
      </c>
      <c r="C638" s="31" t="s">
        <v>6</v>
      </c>
      <c r="D638" s="31">
        <v>12</v>
      </c>
      <c r="E638" s="31">
        <v>261.02</v>
      </c>
      <c r="F638" s="31">
        <v>3132.24</v>
      </c>
      <c r="G638" s="31">
        <v>3696.0431999999996</v>
      </c>
      <c r="H638" s="31">
        <v>563.80319999999995</v>
      </c>
      <c r="I638" s="31" t="s">
        <v>6</v>
      </c>
    </row>
    <row r="639" spans="1:9" x14ac:dyDescent="0.25">
      <c r="A639" s="32">
        <v>45754</v>
      </c>
      <c r="B639" s="31" t="s">
        <v>113</v>
      </c>
      <c r="C639" s="31" t="s">
        <v>6</v>
      </c>
      <c r="D639" s="31">
        <v>390</v>
      </c>
      <c r="E639" s="31">
        <v>223</v>
      </c>
      <c r="F639" s="31">
        <v>86970</v>
      </c>
      <c r="G639" s="31">
        <v>102624.6</v>
      </c>
      <c r="H639" s="31">
        <v>15654.599999999999</v>
      </c>
      <c r="I639" s="31" t="s">
        <v>6</v>
      </c>
    </row>
    <row r="640" spans="1:9" x14ac:dyDescent="0.25">
      <c r="A640" s="32">
        <v>45755</v>
      </c>
      <c r="B640" s="31" t="s">
        <v>111</v>
      </c>
      <c r="C640" s="31" t="s">
        <v>6</v>
      </c>
      <c r="D640" s="31">
        <v>1050</v>
      </c>
      <c r="E640" s="31">
        <v>83</v>
      </c>
      <c r="F640" s="31">
        <v>87150</v>
      </c>
      <c r="G640" s="31">
        <v>102837</v>
      </c>
      <c r="H640" s="31">
        <v>15687</v>
      </c>
      <c r="I640" s="31" t="s">
        <v>6</v>
      </c>
    </row>
    <row r="641" spans="1:9" x14ac:dyDescent="0.25">
      <c r="A641" s="32">
        <v>45760</v>
      </c>
      <c r="B641" s="31" t="s">
        <v>132</v>
      </c>
      <c r="C641" s="31" t="s">
        <v>6</v>
      </c>
      <c r="D641" s="31">
        <v>500</v>
      </c>
      <c r="E641" s="31">
        <v>34</v>
      </c>
      <c r="F641" s="31">
        <v>17000</v>
      </c>
      <c r="G641" s="31">
        <v>20060</v>
      </c>
      <c r="H641" s="31">
        <v>3060</v>
      </c>
      <c r="I641" s="31" t="s">
        <v>6</v>
      </c>
    </row>
    <row r="642" spans="1:9" x14ac:dyDescent="0.25">
      <c r="A642" s="32">
        <v>45761</v>
      </c>
      <c r="B642" s="31" t="s">
        <v>111</v>
      </c>
      <c r="C642" s="31" t="s">
        <v>6</v>
      </c>
      <c r="D642" s="31">
        <v>420</v>
      </c>
      <c r="E642" s="31">
        <v>104</v>
      </c>
      <c r="F642" s="31">
        <v>43680</v>
      </c>
      <c r="G642" s="31">
        <v>51542.400000000001</v>
      </c>
      <c r="H642" s="31">
        <v>7862.4</v>
      </c>
      <c r="I642" s="31" t="s">
        <v>6</v>
      </c>
    </row>
    <row r="643" spans="1:9" x14ac:dyDescent="0.25">
      <c r="A643" s="32">
        <v>45761</v>
      </c>
      <c r="B643" s="31" t="s">
        <v>130</v>
      </c>
      <c r="C643" s="31" t="s">
        <v>6</v>
      </c>
      <c r="D643" s="31">
        <v>100</v>
      </c>
      <c r="E643" s="31">
        <v>110</v>
      </c>
      <c r="F643" s="31">
        <v>11000</v>
      </c>
      <c r="G643" s="31">
        <v>12980</v>
      </c>
      <c r="H643" s="31">
        <v>1980</v>
      </c>
      <c r="I643" s="31" t="s">
        <v>6</v>
      </c>
    </row>
    <row r="644" spans="1:9" x14ac:dyDescent="0.25">
      <c r="A644" s="32">
        <v>45762</v>
      </c>
      <c r="B644" s="31" t="s">
        <v>117</v>
      </c>
      <c r="C644" s="31" t="s">
        <v>6</v>
      </c>
      <c r="D644" s="31">
        <v>780</v>
      </c>
      <c r="E644" s="31">
        <v>88.82</v>
      </c>
      <c r="F644" s="31">
        <v>69279.600000000006</v>
      </c>
      <c r="G644" s="31">
        <v>81749.928000000014</v>
      </c>
      <c r="H644" s="31">
        <v>12470.328000000001</v>
      </c>
      <c r="I644" s="31" t="s">
        <v>6</v>
      </c>
    </row>
    <row r="645" spans="1:9" x14ac:dyDescent="0.25">
      <c r="A645" s="32">
        <v>45763</v>
      </c>
      <c r="B645" s="31" t="s">
        <v>105</v>
      </c>
      <c r="C645" s="31" t="s">
        <v>6</v>
      </c>
      <c r="D645" s="31">
        <v>287</v>
      </c>
      <c r="E645" s="31">
        <v>189.7</v>
      </c>
      <c r="F645" s="31">
        <v>54443.9</v>
      </c>
      <c r="G645" s="31">
        <v>64243.802000000003</v>
      </c>
      <c r="H645" s="31">
        <v>9799.902</v>
      </c>
      <c r="I645" s="31" t="s">
        <v>6</v>
      </c>
    </row>
    <row r="646" spans="1:9" x14ac:dyDescent="0.25">
      <c r="A646" s="32">
        <v>45763</v>
      </c>
      <c r="B646" s="31" t="s">
        <v>118</v>
      </c>
      <c r="C646" s="31" t="s">
        <v>6</v>
      </c>
      <c r="D646" s="31">
        <v>5</v>
      </c>
      <c r="E646" s="31">
        <v>909.6</v>
      </c>
      <c r="F646" s="31">
        <v>4548</v>
      </c>
      <c r="G646" s="31">
        <v>5366.64</v>
      </c>
      <c r="H646" s="31">
        <v>818.64</v>
      </c>
      <c r="I646" s="31" t="s">
        <v>6</v>
      </c>
    </row>
    <row r="647" spans="1:9" x14ac:dyDescent="0.25">
      <c r="A647" s="32">
        <v>45763</v>
      </c>
      <c r="B647" s="31" t="s">
        <v>119</v>
      </c>
      <c r="C647" s="31" t="s">
        <v>6</v>
      </c>
      <c r="D647" s="31">
        <v>1000</v>
      </c>
      <c r="E647" s="31">
        <v>158</v>
      </c>
      <c r="F647" s="31">
        <v>158000</v>
      </c>
      <c r="G647" s="31">
        <v>186440</v>
      </c>
      <c r="H647" s="31">
        <v>28440</v>
      </c>
      <c r="I647" s="31" t="s">
        <v>6</v>
      </c>
    </row>
    <row r="648" spans="1:9" x14ac:dyDescent="0.25">
      <c r="A648" s="32">
        <v>45767</v>
      </c>
      <c r="B648" s="31" t="s">
        <v>120</v>
      </c>
      <c r="C648" s="31" t="s">
        <v>6</v>
      </c>
      <c r="D648" s="31">
        <v>200</v>
      </c>
      <c r="E648" s="31">
        <v>121</v>
      </c>
      <c r="F648" s="31">
        <v>24200</v>
      </c>
      <c r="G648" s="31">
        <v>28556</v>
      </c>
      <c r="H648" s="31">
        <v>4356</v>
      </c>
      <c r="I648" s="31" t="s">
        <v>6</v>
      </c>
    </row>
    <row r="649" spans="1:9" x14ac:dyDescent="0.25">
      <c r="A649" s="32">
        <v>45768</v>
      </c>
      <c r="B649" s="31" t="s">
        <v>111</v>
      </c>
      <c r="C649" s="31" t="s">
        <v>6</v>
      </c>
      <c r="D649" s="31">
        <v>840</v>
      </c>
      <c r="E649" s="31">
        <v>83</v>
      </c>
      <c r="F649" s="31">
        <v>69720</v>
      </c>
      <c r="G649" s="31">
        <v>82269.600000000006</v>
      </c>
      <c r="H649" s="31">
        <v>12549.6</v>
      </c>
      <c r="I649" s="31" t="s">
        <v>6</v>
      </c>
    </row>
    <row r="650" spans="1:9" x14ac:dyDescent="0.25">
      <c r="A650" s="32">
        <v>45769</v>
      </c>
      <c r="B650" s="31" t="s">
        <v>121</v>
      </c>
      <c r="C650" s="31" t="s">
        <v>6</v>
      </c>
      <c r="D650" s="31">
        <v>8475</v>
      </c>
      <c r="E650" s="31">
        <v>70</v>
      </c>
      <c r="F650" s="31">
        <v>593250</v>
      </c>
      <c r="G650" s="31">
        <v>700035</v>
      </c>
      <c r="H650" s="31">
        <v>106785</v>
      </c>
      <c r="I650" s="31" t="s">
        <v>6</v>
      </c>
    </row>
    <row r="651" spans="1:9" x14ac:dyDescent="0.25">
      <c r="A651" s="32">
        <v>45769</v>
      </c>
      <c r="B651" s="31" t="s">
        <v>122</v>
      </c>
      <c r="C651" s="31" t="s">
        <v>6</v>
      </c>
      <c r="D651" s="31">
        <v>300</v>
      </c>
      <c r="E651" s="31">
        <v>121</v>
      </c>
      <c r="F651" s="31">
        <v>36300</v>
      </c>
      <c r="G651" s="31">
        <v>42834</v>
      </c>
      <c r="H651" s="31">
        <v>6534</v>
      </c>
      <c r="I651" s="31" t="s">
        <v>6</v>
      </c>
    </row>
    <row r="652" spans="1:9" x14ac:dyDescent="0.25">
      <c r="A652" s="32">
        <v>45770</v>
      </c>
      <c r="B652" s="31" t="s">
        <v>123</v>
      </c>
      <c r="C652" s="31" t="s">
        <v>6</v>
      </c>
      <c r="D652" s="31">
        <v>100</v>
      </c>
      <c r="E652" s="31">
        <v>269</v>
      </c>
      <c r="F652" s="31">
        <v>26900</v>
      </c>
      <c r="G652" s="31">
        <v>31742</v>
      </c>
      <c r="H652" s="31">
        <v>4842</v>
      </c>
      <c r="I652" s="31" t="s">
        <v>6</v>
      </c>
    </row>
    <row r="653" spans="1:9" x14ac:dyDescent="0.25">
      <c r="A653" s="32">
        <v>45773</v>
      </c>
      <c r="B653" s="31" t="s">
        <v>121</v>
      </c>
      <c r="C653" s="31" t="s">
        <v>6</v>
      </c>
      <c r="D653" s="31">
        <v>9690</v>
      </c>
      <c r="E653" s="31">
        <v>70</v>
      </c>
      <c r="F653" s="31">
        <v>678300</v>
      </c>
      <c r="G653" s="31">
        <v>800394</v>
      </c>
      <c r="H653" s="31">
        <v>122094</v>
      </c>
      <c r="I653" s="31" t="s">
        <v>6</v>
      </c>
    </row>
    <row r="654" spans="1:9" x14ac:dyDescent="0.25">
      <c r="A654" s="32">
        <v>45773</v>
      </c>
      <c r="B654" s="31" t="s">
        <v>124</v>
      </c>
      <c r="C654" s="31" t="s">
        <v>6</v>
      </c>
      <c r="D654" s="31">
        <v>26</v>
      </c>
      <c r="E654" s="31">
        <v>92.5</v>
      </c>
      <c r="F654" s="31">
        <v>2405</v>
      </c>
      <c r="G654" s="31">
        <v>2837.9</v>
      </c>
      <c r="H654" s="31">
        <v>432.9</v>
      </c>
      <c r="I654" s="31" t="s">
        <v>6</v>
      </c>
    </row>
    <row r="655" spans="1:9" x14ac:dyDescent="0.25">
      <c r="A655" s="32">
        <v>45775</v>
      </c>
      <c r="B655" s="31" t="s">
        <v>125</v>
      </c>
      <c r="C655" s="31" t="s">
        <v>6</v>
      </c>
      <c r="D655" s="31">
        <v>6775</v>
      </c>
      <c r="E655" s="31">
        <v>70</v>
      </c>
      <c r="F655" s="31">
        <v>474250</v>
      </c>
      <c r="G655" s="31">
        <v>559615</v>
      </c>
      <c r="H655" s="31">
        <v>85365</v>
      </c>
      <c r="I655" s="31" t="s">
        <v>6</v>
      </c>
    </row>
    <row r="656" spans="1:9" x14ac:dyDescent="0.25">
      <c r="A656" s="32">
        <v>45776</v>
      </c>
      <c r="B656" s="31" t="s">
        <v>107</v>
      </c>
      <c r="C656" s="31" t="s">
        <v>6</v>
      </c>
      <c r="D656" s="31">
        <v>11280</v>
      </c>
      <c r="E656" s="31">
        <v>46</v>
      </c>
      <c r="F656" s="31">
        <v>518880</v>
      </c>
      <c r="G656" s="31">
        <v>612278.4</v>
      </c>
      <c r="H656" s="31">
        <v>93398.399999999994</v>
      </c>
      <c r="I656" s="31" t="s">
        <v>6</v>
      </c>
    </row>
    <row r="657" spans="1:9" x14ac:dyDescent="0.25">
      <c r="A657" s="32">
        <v>45777</v>
      </c>
      <c r="B657" s="31" t="s">
        <v>126</v>
      </c>
      <c r="C657" s="31" t="s">
        <v>6</v>
      </c>
      <c r="D657" s="31">
        <v>150</v>
      </c>
      <c r="E657" s="31">
        <v>147.01</v>
      </c>
      <c r="F657" s="31">
        <v>22051</v>
      </c>
      <c r="G657" s="31">
        <v>26020.18</v>
      </c>
      <c r="H657" s="31">
        <v>3969.18</v>
      </c>
      <c r="I657" s="31" t="s">
        <v>6</v>
      </c>
    </row>
    <row r="658" spans="1:9" x14ac:dyDescent="0.25">
      <c r="A658" s="32">
        <v>45780</v>
      </c>
      <c r="B658" s="31" t="s">
        <v>117</v>
      </c>
      <c r="C658" s="31" t="s">
        <v>6</v>
      </c>
      <c r="D658" s="31">
        <v>780</v>
      </c>
      <c r="E658" s="31">
        <v>91.1</v>
      </c>
      <c r="F658" s="31">
        <v>71059.320000000007</v>
      </c>
      <c r="G658" s="31">
        <v>83849.997600000002</v>
      </c>
      <c r="H658" s="31">
        <v>12790.677600000001</v>
      </c>
      <c r="I658" s="31" t="s">
        <v>6</v>
      </c>
    </row>
    <row r="659" spans="1:9" x14ac:dyDescent="0.25">
      <c r="A659" s="32">
        <v>45782</v>
      </c>
      <c r="B659" s="31" t="s">
        <v>130</v>
      </c>
      <c r="C659" s="31" t="s">
        <v>6</v>
      </c>
      <c r="D659" s="31">
        <v>917</v>
      </c>
      <c r="E659" s="31">
        <v>91.95</v>
      </c>
      <c r="F659" s="31">
        <v>84322.03</v>
      </c>
      <c r="G659" s="31">
        <v>99499.9954</v>
      </c>
      <c r="H659" s="31">
        <v>15177.965399999999</v>
      </c>
      <c r="I659" s="31" t="s">
        <v>6</v>
      </c>
    </row>
    <row r="660" spans="1:9" x14ac:dyDescent="0.25">
      <c r="A660" s="32">
        <v>45782</v>
      </c>
      <c r="B660" s="31" t="s">
        <v>111</v>
      </c>
      <c r="C660" s="31" t="s">
        <v>6</v>
      </c>
      <c r="D660" s="31">
        <v>420</v>
      </c>
      <c r="E660" s="31">
        <v>104</v>
      </c>
      <c r="F660" s="31">
        <v>43680</v>
      </c>
      <c r="G660" s="31">
        <v>51542.400000000001</v>
      </c>
      <c r="H660" s="31">
        <v>7862.4</v>
      </c>
      <c r="I660" s="31" t="s">
        <v>6</v>
      </c>
    </row>
    <row r="661" spans="1:9" x14ac:dyDescent="0.25">
      <c r="A661" s="32">
        <v>45782</v>
      </c>
      <c r="B661" s="31" t="s">
        <v>111</v>
      </c>
      <c r="C661" s="31" t="s">
        <v>6</v>
      </c>
      <c r="D661" s="31">
        <v>840</v>
      </c>
      <c r="E661" s="31">
        <v>83</v>
      </c>
      <c r="F661" s="31">
        <v>69720</v>
      </c>
      <c r="G661" s="31">
        <v>82269.600000000006</v>
      </c>
      <c r="H661" s="31">
        <v>12549.6</v>
      </c>
      <c r="I661" s="31" t="s">
        <v>6</v>
      </c>
    </row>
    <row r="662" spans="1:9" x14ac:dyDescent="0.25">
      <c r="A662" s="32">
        <v>45783</v>
      </c>
      <c r="B662" s="31" t="s">
        <v>122</v>
      </c>
      <c r="C662" s="31" t="s">
        <v>6</v>
      </c>
      <c r="D662" s="31">
        <v>180</v>
      </c>
      <c r="E662" s="31">
        <v>78</v>
      </c>
      <c r="F662" s="31">
        <v>14040</v>
      </c>
      <c r="G662" s="31">
        <v>16567.2</v>
      </c>
      <c r="H662" s="31">
        <v>2527.1999999999998</v>
      </c>
      <c r="I662" s="31" t="s">
        <v>6</v>
      </c>
    </row>
    <row r="663" spans="1:9" x14ac:dyDescent="0.25">
      <c r="A663" s="32">
        <v>45783</v>
      </c>
      <c r="B663" s="31" t="s">
        <v>106</v>
      </c>
      <c r="C663" s="31" t="s">
        <v>6</v>
      </c>
      <c r="D663" s="31">
        <v>120</v>
      </c>
      <c r="E663" s="31">
        <v>7.43</v>
      </c>
      <c r="F663" s="31">
        <v>891</v>
      </c>
      <c r="G663" s="31">
        <v>1051.3800000000001</v>
      </c>
      <c r="H663" s="31">
        <v>160.38</v>
      </c>
      <c r="I663" s="31" t="s">
        <v>6</v>
      </c>
    </row>
    <row r="664" spans="1:9" x14ac:dyDescent="0.25">
      <c r="A664" s="32">
        <v>45783</v>
      </c>
      <c r="B664" s="31" t="s">
        <v>130</v>
      </c>
      <c r="C664" s="31" t="s">
        <v>6</v>
      </c>
      <c r="D664" s="31">
        <v>917</v>
      </c>
      <c r="E664" s="31">
        <v>91.95</v>
      </c>
      <c r="F664" s="31">
        <v>84322.03</v>
      </c>
      <c r="G664" s="31">
        <v>99499.9954</v>
      </c>
      <c r="H664" s="31">
        <v>15177.965399999999</v>
      </c>
      <c r="I664" s="31" t="s">
        <v>6</v>
      </c>
    </row>
    <row r="665" spans="1:9" x14ac:dyDescent="0.25">
      <c r="A665" s="32">
        <v>45783</v>
      </c>
      <c r="B665" s="31" t="s">
        <v>110</v>
      </c>
      <c r="C665" s="31" t="s">
        <v>6</v>
      </c>
      <c r="D665" s="31">
        <v>2</v>
      </c>
      <c r="E665" s="31">
        <v>3660</v>
      </c>
      <c r="F665" s="31">
        <v>7320</v>
      </c>
      <c r="G665" s="31">
        <v>8637.6</v>
      </c>
      <c r="H665" s="31">
        <v>1317.6</v>
      </c>
      <c r="I665" s="31" t="s">
        <v>6</v>
      </c>
    </row>
    <row r="666" spans="1:9" x14ac:dyDescent="0.25">
      <c r="A666" s="32">
        <v>45784</v>
      </c>
      <c r="B666" s="31" t="s">
        <v>130</v>
      </c>
      <c r="C666" s="31" t="s">
        <v>6</v>
      </c>
      <c r="D666" s="31">
        <v>917</v>
      </c>
      <c r="E666" s="31">
        <v>91.95</v>
      </c>
      <c r="F666" s="31">
        <v>84322.03</v>
      </c>
      <c r="G666" s="31">
        <v>99499.9954</v>
      </c>
      <c r="H666" s="31">
        <v>15177.965399999999</v>
      </c>
      <c r="I666" s="31" t="s">
        <v>6</v>
      </c>
    </row>
    <row r="667" spans="1:9" x14ac:dyDescent="0.25">
      <c r="A667" s="32">
        <v>45786</v>
      </c>
      <c r="B667" s="31" t="s">
        <v>127</v>
      </c>
      <c r="C667" s="31" t="s">
        <v>6</v>
      </c>
      <c r="D667" s="31">
        <v>27040</v>
      </c>
      <c r="E667" s="31">
        <v>75.75</v>
      </c>
      <c r="F667" s="31">
        <v>2048280</v>
      </c>
      <c r="G667" s="31">
        <v>2416970.4</v>
      </c>
      <c r="H667" s="31">
        <v>368690.39999999997</v>
      </c>
      <c r="I667" s="31" t="s">
        <v>6</v>
      </c>
    </row>
    <row r="668" spans="1:9" x14ac:dyDescent="0.25">
      <c r="A668" s="32">
        <v>45786</v>
      </c>
      <c r="B668" s="31" t="s">
        <v>108</v>
      </c>
      <c r="C668" s="31" t="s">
        <v>6</v>
      </c>
      <c r="D668" s="31">
        <v>1000</v>
      </c>
      <c r="E668" s="31">
        <v>66</v>
      </c>
      <c r="F668" s="31">
        <v>66000</v>
      </c>
      <c r="G668" s="31">
        <v>77880</v>
      </c>
      <c r="H668" s="31">
        <v>11880</v>
      </c>
      <c r="I668" s="31" t="s">
        <v>6</v>
      </c>
    </row>
    <row r="669" spans="1:9" x14ac:dyDescent="0.25">
      <c r="A669" s="32">
        <v>45787</v>
      </c>
      <c r="B669" s="31" t="s">
        <v>131</v>
      </c>
      <c r="C669" s="31" t="s">
        <v>6</v>
      </c>
      <c r="D669" s="31">
        <v>26</v>
      </c>
      <c r="E669" s="31">
        <v>109</v>
      </c>
      <c r="F669" s="31">
        <v>2834</v>
      </c>
      <c r="G669" s="31">
        <v>3344.12</v>
      </c>
      <c r="H669" s="31">
        <v>510.12</v>
      </c>
      <c r="I669" s="31" t="s">
        <v>6</v>
      </c>
    </row>
    <row r="670" spans="1:9" x14ac:dyDescent="0.25">
      <c r="A670" s="32">
        <v>45790</v>
      </c>
      <c r="B670" s="31" t="s">
        <v>123</v>
      </c>
      <c r="C670" s="31" t="s">
        <v>6</v>
      </c>
      <c r="D670" s="31">
        <v>390</v>
      </c>
      <c r="E670" s="31">
        <v>220</v>
      </c>
      <c r="F670" s="31">
        <v>85800</v>
      </c>
      <c r="G670" s="31">
        <v>101244</v>
      </c>
      <c r="H670" s="31">
        <v>15444</v>
      </c>
      <c r="I670" s="31" t="s">
        <v>6</v>
      </c>
    </row>
    <row r="671" spans="1:9" x14ac:dyDescent="0.25">
      <c r="A671" s="32">
        <v>45792</v>
      </c>
      <c r="B671" s="31" t="s">
        <v>131</v>
      </c>
      <c r="C671" s="31" t="s">
        <v>6</v>
      </c>
      <c r="D671" s="31">
        <v>40</v>
      </c>
      <c r="E671" s="31">
        <v>146.22999999999999</v>
      </c>
      <c r="F671" s="31">
        <v>5849.24</v>
      </c>
      <c r="G671" s="31">
        <v>6902.1031999999996</v>
      </c>
      <c r="H671" s="31">
        <v>1052.8632</v>
      </c>
      <c r="I671" s="31" t="s">
        <v>6</v>
      </c>
    </row>
    <row r="672" spans="1:9" x14ac:dyDescent="0.25">
      <c r="A672" s="32">
        <v>45793</v>
      </c>
      <c r="B672" s="31" t="s">
        <v>116</v>
      </c>
      <c r="C672" s="31" t="s">
        <v>6</v>
      </c>
      <c r="D672" s="31">
        <v>360</v>
      </c>
      <c r="E672" s="31">
        <v>79.75</v>
      </c>
      <c r="F672" s="31">
        <v>28710</v>
      </c>
      <c r="G672" s="31">
        <v>33877.800000000003</v>
      </c>
      <c r="H672" s="31">
        <v>5167.8</v>
      </c>
      <c r="I672" s="31" t="s">
        <v>6</v>
      </c>
    </row>
    <row r="673" spans="1:9" x14ac:dyDescent="0.25">
      <c r="A673" s="32">
        <v>45793</v>
      </c>
      <c r="B673" s="31" t="s">
        <v>113</v>
      </c>
      <c r="C673" s="31" t="s">
        <v>6</v>
      </c>
      <c r="D673" s="31">
        <v>195</v>
      </c>
      <c r="E673" s="31">
        <v>223</v>
      </c>
      <c r="F673" s="31">
        <v>43485</v>
      </c>
      <c r="G673" s="31">
        <v>51312.3</v>
      </c>
      <c r="H673" s="31">
        <v>7827.2999999999993</v>
      </c>
      <c r="I673" s="31" t="s">
        <v>6</v>
      </c>
    </row>
    <row r="674" spans="1:9" x14ac:dyDescent="0.25">
      <c r="A674" s="32">
        <v>45795</v>
      </c>
      <c r="B674" s="31" t="s">
        <v>132</v>
      </c>
      <c r="C674" s="31" t="s">
        <v>6</v>
      </c>
      <c r="D674" s="31">
        <v>600</v>
      </c>
      <c r="E674" s="31">
        <v>34</v>
      </c>
      <c r="F674" s="31">
        <v>20400</v>
      </c>
      <c r="G674" s="31">
        <v>24072</v>
      </c>
      <c r="H674" s="31">
        <v>3672</v>
      </c>
      <c r="I674" s="31" t="s">
        <v>6</v>
      </c>
    </row>
    <row r="675" spans="1:9" x14ac:dyDescent="0.25">
      <c r="A675" s="32">
        <v>45796</v>
      </c>
      <c r="B675" s="31" t="s">
        <v>111</v>
      </c>
      <c r="C675" s="31" t="s">
        <v>6</v>
      </c>
      <c r="D675" s="31">
        <v>1050</v>
      </c>
      <c r="E675" s="31">
        <v>83</v>
      </c>
      <c r="F675" s="31">
        <v>87150</v>
      </c>
      <c r="G675" s="31">
        <v>102837</v>
      </c>
      <c r="H675" s="31">
        <v>15687</v>
      </c>
      <c r="I675" s="31" t="s">
        <v>6</v>
      </c>
    </row>
    <row r="676" spans="1:9" x14ac:dyDescent="0.25">
      <c r="A676" s="32">
        <v>45798</v>
      </c>
      <c r="B676" s="31" t="s">
        <v>130</v>
      </c>
      <c r="C676" s="31" t="s">
        <v>6</v>
      </c>
      <c r="D676" s="31">
        <v>917</v>
      </c>
      <c r="E676" s="31">
        <v>91.95</v>
      </c>
      <c r="F676" s="31">
        <v>84322.03</v>
      </c>
      <c r="G676" s="31">
        <v>99499.9954</v>
      </c>
      <c r="H676" s="31">
        <v>15177.965399999999</v>
      </c>
      <c r="I676" s="31" t="s">
        <v>6</v>
      </c>
    </row>
    <row r="677" spans="1:9" x14ac:dyDescent="0.25">
      <c r="A677" s="32">
        <v>45799</v>
      </c>
      <c r="B677" s="31" t="s">
        <v>130</v>
      </c>
      <c r="C677" s="31" t="s">
        <v>6</v>
      </c>
      <c r="D677" s="31">
        <v>917</v>
      </c>
      <c r="E677" s="31">
        <v>91.95</v>
      </c>
      <c r="F677" s="31">
        <v>84322.03</v>
      </c>
      <c r="G677" s="31">
        <v>99499.9954</v>
      </c>
      <c r="H677" s="31">
        <v>15177.965399999999</v>
      </c>
      <c r="I677" s="31" t="s">
        <v>6</v>
      </c>
    </row>
    <row r="678" spans="1:9" x14ac:dyDescent="0.25">
      <c r="A678" s="32">
        <v>45800</v>
      </c>
      <c r="B678" s="31" t="s">
        <v>122</v>
      </c>
      <c r="C678" s="31" t="s">
        <v>6</v>
      </c>
      <c r="D678" s="31">
        <v>480</v>
      </c>
      <c r="E678" s="31">
        <v>118.75</v>
      </c>
      <c r="F678" s="31">
        <v>57000</v>
      </c>
      <c r="G678" s="31">
        <v>67260</v>
      </c>
      <c r="H678" s="31">
        <v>10260</v>
      </c>
      <c r="I678" s="31" t="s">
        <v>6</v>
      </c>
    </row>
    <row r="679" spans="1:9" x14ac:dyDescent="0.25">
      <c r="A679" s="32">
        <v>45800</v>
      </c>
      <c r="B679" s="31" t="s">
        <v>132</v>
      </c>
      <c r="C679" s="31" t="s">
        <v>6</v>
      </c>
      <c r="D679" s="31">
        <v>500</v>
      </c>
      <c r="E679" s="31">
        <v>34</v>
      </c>
      <c r="F679" s="31">
        <v>17000</v>
      </c>
      <c r="G679" s="31">
        <v>20060</v>
      </c>
      <c r="H679" s="31">
        <v>3060</v>
      </c>
      <c r="I679" s="31" t="s">
        <v>6</v>
      </c>
    </row>
    <row r="680" spans="1:9" x14ac:dyDescent="0.25">
      <c r="A680" s="32">
        <v>45801</v>
      </c>
      <c r="B680" s="31" t="s">
        <v>114</v>
      </c>
      <c r="C680" s="31" t="s">
        <v>6</v>
      </c>
      <c r="D680" s="31">
        <v>250</v>
      </c>
      <c r="E680" s="31">
        <v>122</v>
      </c>
      <c r="F680" s="31">
        <v>30500</v>
      </c>
      <c r="G680" s="31">
        <v>35990</v>
      </c>
      <c r="H680" s="31">
        <v>5490</v>
      </c>
      <c r="I680" s="31" t="s">
        <v>6</v>
      </c>
    </row>
    <row r="681" spans="1:9" x14ac:dyDescent="0.25">
      <c r="A681" s="32">
        <v>45803</v>
      </c>
      <c r="B681" s="31" t="s">
        <v>111</v>
      </c>
      <c r="C681" s="31" t="s">
        <v>6</v>
      </c>
      <c r="D681" s="31">
        <v>420</v>
      </c>
      <c r="E681" s="31">
        <v>104</v>
      </c>
      <c r="F681" s="31">
        <v>43680</v>
      </c>
      <c r="G681" s="31">
        <v>51542.400000000001</v>
      </c>
      <c r="H681" s="31">
        <v>7862.4</v>
      </c>
      <c r="I681" s="31" t="s">
        <v>6</v>
      </c>
    </row>
    <row r="682" spans="1:9" x14ac:dyDescent="0.25">
      <c r="A682" s="32">
        <v>45804</v>
      </c>
      <c r="B682" s="31" t="s">
        <v>106</v>
      </c>
      <c r="C682" s="31" t="s">
        <v>6</v>
      </c>
      <c r="D682" s="31">
        <v>1440</v>
      </c>
      <c r="E682" s="31">
        <v>3.48</v>
      </c>
      <c r="F682" s="31">
        <v>5010.37</v>
      </c>
      <c r="G682" s="31">
        <v>5912.2366000000002</v>
      </c>
      <c r="H682" s="31">
        <v>901.86659999999995</v>
      </c>
      <c r="I682" s="31" t="s">
        <v>6</v>
      </c>
    </row>
    <row r="683" spans="1:9" x14ac:dyDescent="0.25">
      <c r="A683" s="32">
        <v>45804</v>
      </c>
      <c r="B683" s="31" t="s">
        <v>113</v>
      </c>
      <c r="C683" s="31" t="s">
        <v>6</v>
      </c>
      <c r="D683" s="31">
        <v>195</v>
      </c>
      <c r="E683" s="31">
        <v>223</v>
      </c>
      <c r="F683" s="31">
        <v>43485</v>
      </c>
      <c r="G683" s="31">
        <v>51312.3</v>
      </c>
      <c r="H683" s="31">
        <v>7827.2999999999993</v>
      </c>
      <c r="I683" s="31" t="s">
        <v>6</v>
      </c>
    </row>
    <row r="684" spans="1:9" x14ac:dyDescent="0.25">
      <c r="A684" s="32">
        <v>45805</v>
      </c>
      <c r="B684" s="31" t="s">
        <v>124</v>
      </c>
      <c r="C684" s="31" t="s">
        <v>6</v>
      </c>
      <c r="D684" s="31">
        <v>60</v>
      </c>
      <c r="E684" s="31">
        <v>145</v>
      </c>
      <c r="F684" s="31">
        <v>8700</v>
      </c>
      <c r="G684" s="31">
        <v>10266</v>
      </c>
      <c r="H684" s="31">
        <v>1566</v>
      </c>
      <c r="I684" s="31" t="s">
        <v>6</v>
      </c>
    </row>
    <row r="685" spans="1:9" x14ac:dyDescent="0.25">
      <c r="A685" s="32">
        <v>45806</v>
      </c>
      <c r="B685" s="31" t="s">
        <v>109</v>
      </c>
      <c r="C685" s="31" t="s">
        <v>6</v>
      </c>
      <c r="D685" s="31">
        <v>11340</v>
      </c>
      <c r="E685" s="31">
        <v>75</v>
      </c>
      <c r="F685" s="31">
        <v>850542.83</v>
      </c>
      <c r="G685" s="31">
        <v>1003640.5393999999</v>
      </c>
      <c r="H685" s="31">
        <v>153097.70939999999</v>
      </c>
      <c r="I685" s="31" t="s">
        <v>6</v>
      </c>
    </row>
    <row r="686" spans="1:9" x14ac:dyDescent="0.25">
      <c r="A686" s="32">
        <v>45807</v>
      </c>
      <c r="B686" s="31" t="s">
        <v>123</v>
      </c>
      <c r="C686" s="31" t="s">
        <v>6</v>
      </c>
      <c r="D686" s="31">
        <v>120</v>
      </c>
      <c r="E686" s="31">
        <v>269</v>
      </c>
      <c r="F686" s="31">
        <v>32280</v>
      </c>
      <c r="G686" s="31">
        <v>38090.400000000001</v>
      </c>
      <c r="H686" s="31">
        <v>5810.4</v>
      </c>
      <c r="I686" s="31" t="s">
        <v>6</v>
      </c>
    </row>
    <row r="687" spans="1:9" x14ac:dyDescent="0.25">
      <c r="A687" s="32">
        <v>45808</v>
      </c>
      <c r="B687" s="31" t="s">
        <v>125</v>
      </c>
      <c r="C687" s="31" t="s">
        <v>6</v>
      </c>
      <c r="D687" s="31">
        <v>6250</v>
      </c>
      <c r="E687" s="31">
        <v>71</v>
      </c>
      <c r="F687" s="31">
        <v>443750</v>
      </c>
      <c r="G687" s="31">
        <v>523625</v>
      </c>
      <c r="H687" s="31">
        <v>79875</v>
      </c>
      <c r="I687" s="31" t="s">
        <v>6</v>
      </c>
    </row>
    <row r="688" spans="1:9" x14ac:dyDescent="0.25">
      <c r="A688" s="32">
        <v>45811</v>
      </c>
      <c r="B688" s="31" t="s">
        <v>127</v>
      </c>
      <c r="C688" s="31" t="s">
        <v>6</v>
      </c>
      <c r="D688" s="31">
        <v>21680</v>
      </c>
      <c r="E688" s="31">
        <v>76.5</v>
      </c>
      <c r="F688" s="31">
        <v>1658520</v>
      </c>
      <c r="G688" s="31">
        <v>1957053.6</v>
      </c>
      <c r="H688" s="31">
        <v>298533.59999999998</v>
      </c>
      <c r="I688" s="31" t="s">
        <v>6</v>
      </c>
    </row>
    <row r="689" spans="1:9" x14ac:dyDescent="0.25">
      <c r="A689" s="32">
        <v>45814</v>
      </c>
      <c r="B689" s="31" t="s">
        <v>125</v>
      </c>
      <c r="C689" s="31" t="s">
        <v>6</v>
      </c>
      <c r="D689" s="31">
        <v>2410</v>
      </c>
      <c r="E689" s="31">
        <v>71</v>
      </c>
      <c r="F689" s="31">
        <v>171110</v>
      </c>
      <c r="G689" s="31">
        <v>201909.8</v>
      </c>
      <c r="H689" s="31">
        <v>30799.8</v>
      </c>
      <c r="I689" s="31" t="s">
        <v>6</v>
      </c>
    </row>
    <row r="690" spans="1:9" x14ac:dyDescent="0.25">
      <c r="A690" s="32">
        <v>45815</v>
      </c>
      <c r="B690" s="31" t="s">
        <v>123</v>
      </c>
      <c r="C690" s="31" t="s">
        <v>6</v>
      </c>
      <c r="D690" s="31">
        <v>100</v>
      </c>
      <c r="E690" s="31">
        <v>269</v>
      </c>
      <c r="F690" s="31">
        <v>26900</v>
      </c>
      <c r="G690" s="31">
        <v>31742</v>
      </c>
      <c r="H690" s="31">
        <v>4842</v>
      </c>
      <c r="I690" s="31" t="s">
        <v>6</v>
      </c>
    </row>
    <row r="691" spans="1:9" x14ac:dyDescent="0.25">
      <c r="A691" s="32">
        <v>45815</v>
      </c>
      <c r="B691" s="31" t="s">
        <v>123</v>
      </c>
      <c r="C691" s="31" t="s">
        <v>6</v>
      </c>
      <c r="D691" s="31">
        <v>585</v>
      </c>
      <c r="E691" s="31">
        <v>220</v>
      </c>
      <c r="F691" s="31">
        <v>128700</v>
      </c>
      <c r="G691" s="31">
        <v>151866</v>
      </c>
      <c r="H691" s="31">
        <v>23166</v>
      </c>
      <c r="I691" s="31" t="s">
        <v>6</v>
      </c>
    </row>
    <row r="692" spans="1:9" x14ac:dyDescent="0.25">
      <c r="A692" s="32">
        <v>45815</v>
      </c>
      <c r="B692" s="31" t="s">
        <v>108</v>
      </c>
      <c r="C692" s="31" t="s">
        <v>6</v>
      </c>
      <c r="D692" s="31">
        <v>2000</v>
      </c>
      <c r="E692" s="31">
        <v>66</v>
      </c>
      <c r="F692" s="31">
        <v>132000</v>
      </c>
      <c r="G692" s="31">
        <v>155760</v>
      </c>
      <c r="H692" s="31">
        <v>23760</v>
      </c>
      <c r="I692" s="31" t="s">
        <v>6</v>
      </c>
    </row>
    <row r="693" spans="1:9" x14ac:dyDescent="0.25">
      <c r="A693" s="32">
        <v>45817</v>
      </c>
      <c r="B693" s="31" t="s">
        <v>125</v>
      </c>
      <c r="C693" s="31" t="s">
        <v>6</v>
      </c>
      <c r="D693" s="31">
        <v>2405</v>
      </c>
      <c r="E693" s="31">
        <v>71</v>
      </c>
      <c r="F693" s="31">
        <v>170755</v>
      </c>
      <c r="G693" s="31">
        <v>201490.9</v>
      </c>
      <c r="H693" s="31">
        <v>30735.899999999998</v>
      </c>
      <c r="I693" s="31" t="s">
        <v>6</v>
      </c>
    </row>
    <row r="694" spans="1:9" x14ac:dyDescent="0.25">
      <c r="A694" s="32">
        <v>45817</v>
      </c>
      <c r="B694" s="31" t="s">
        <v>115</v>
      </c>
      <c r="C694" s="31" t="s">
        <v>6</v>
      </c>
      <c r="D694" s="31">
        <v>500</v>
      </c>
      <c r="E694" s="31">
        <v>270</v>
      </c>
      <c r="F694" s="31">
        <v>135000</v>
      </c>
      <c r="G694" s="31">
        <v>159300</v>
      </c>
      <c r="H694" s="31">
        <v>24300</v>
      </c>
      <c r="I694" s="31" t="s">
        <v>6</v>
      </c>
    </row>
    <row r="695" spans="1:9" x14ac:dyDescent="0.25">
      <c r="A695" s="32">
        <v>45817</v>
      </c>
      <c r="B695" s="31" t="s">
        <v>130</v>
      </c>
      <c r="C695" s="31" t="s">
        <v>6</v>
      </c>
      <c r="D695" s="31">
        <v>100</v>
      </c>
      <c r="E695" s="31">
        <v>110</v>
      </c>
      <c r="F695" s="31">
        <v>11000</v>
      </c>
      <c r="G695" s="31">
        <v>12980</v>
      </c>
      <c r="H695" s="31">
        <v>1980</v>
      </c>
      <c r="I695" s="31" t="s">
        <v>6</v>
      </c>
    </row>
    <row r="696" spans="1:9" x14ac:dyDescent="0.25">
      <c r="A696" s="32">
        <v>45818</v>
      </c>
      <c r="B696" s="31" t="s">
        <v>108</v>
      </c>
      <c r="C696" s="31" t="s">
        <v>6</v>
      </c>
      <c r="D696" s="31">
        <v>400</v>
      </c>
      <c r="E696" s="31">
        <v>66</v>
      </c>
      <c r="F696" s="31">
        <v>26400</v>
      </c>
      <c r="G696" s="31">
        <v>31152</v>
      </c>
      <c r="H696" s="31">
        <v>4752</v>
      </c>
      <c r="I696" s="31" t="s">
        <v>6</v>
      </c>
    </row>
    <row r="697" spans="1:9" x14ac:dyDescent="0.25">
      <c r="A697" s="32">
        <v>45818</v>
      </c>
      <c r="B697" s="31" t="s">
        <v>132</v>
      </c>
      <c r="C697" s="31" t="s">
        <v>6</v>
      </c>
      <c r="D697" s="31">
        <v>600</v>
      </c>
      <c r="E697" s="31">
        <v>34</v>
      </c>
      <c r="F697" s="31">
        <v>20400</v>
      </c>
      <c r="G697" s="31">
        <v>24072</v>
      </c>
      <c r="H697" s="31">
        <v>3672</v>
      </c>
      <c r="I697" s="31" t="s">
        <v>6</v>
      </c>
    </row>
    <row r="698" spans="1:9" x14ac:dyDescent="0.25">
      <c r="A698" s="32">
        <v>45818</v>
      </c>
      <c r="B698" s="31" t="s">
        <v>130</v>
      </c>
      <c r="C698" s="31" t="s">
        <v>6</v>
      </c>
      <c r="D698" s="31">
        <v>52</v>
      </c>
      <c r="E698" s="31">
        <v>100</v>
      </c>
      <c r="F698" s="31">
        <v>5200</v>
      </c>
      <c r="G698" s="31">
        <v>6136</v>
      </c>
      <c r="H698" s="31">
        <v>936</v>
      </c>
      <c r="I698" s="31" t="s">
        <v>6</v>
      </c>
    </row>
    <row r="699" spans="1:9" x14ac:dyDescent="0.25">
      <c r="A699" s="32">
        <v>45819</v>
      </c>
      <c r="B699" s="31" t="s">
        <v>123</v>
      </c>
      <c r="C699" s="31" t="s">
        <v>6</v>
      </c>
      <c r="D699" s="31">
        <v>100</v>
      </c>
      <c r="E699" s="31">
        <v>269</v>
      </c>
      <c r="F699" s="31">
        <v>26900</v>
      </c>
      <c r="G699" s="31">
        <v>31742</v>
      </c>
      <c r="H699" s="31">
        <v>4842</v>
      </c>
      <c r="I699" s="31" t="s">
        <v>6</v>
      </c>
    </row>
    <row r="700" spans="1:9" x14ac:dyDescent="0.25">
      <c r="A700" s="32">
        <v>45820</v>
      </c>
      <c r="B700" s="31" t="s">
        <v>112</v>
      </c>
      <c r="C700" s="31" t="s">
        <v>6</v>
      </c>
      <c r="D700" s="31">
        <v>12</v>
      </c>
      <c r="E700" s="31">
        <v>261.02</v>
      </c>
      <c r="F700" s="31">
        <v>3132.24</v>
      </c>
      <c r="G700" s="31">
        <v>3696.0431999999996</v>
      </c>
      <c r="H700" s="31">
        <v>563.80319999999995</v>
      </c>
      <c r="I700" s="31" t="s">
        <v>6</v>
      </c>
    </row>
    <row r="701" spans="1:9" x14ac:dyDescent="0.25">
      <c r="A701" s="32">
        <v>45821</v>
      </c>
      <c r="B701" s="31" t="s">
        <v>105</v>
      </c>
      <c r="C701" s="31" t="s">
        <v>6</v>
      </c>
      <c r="D701" s="31">
        <v>309</v>
      </c>
      <c r="E701" s="31">
        <v>189.7</v>
      </c>
      <c r="F701" s="31">
        <v>58617.3</v>
      </c>
      <c r="G701" s="31">
        <v>69168.414000000004</v>
      </c>
      <c r="H701" s="31">
        <v>10551.114</v>
      </c>
      <c r="I701" s="31" t="s">
        <v>6</v>
      </c>
    </row>
    <row r="702" spans="1:9" x14ac:dyDescent="0.25">
      <c r="A702" s="32">
        <v>45821</v>
      </c>
      <c r="B702" s="31" t="s">
        <v>111</v>
      </c>
      <c r="C702" s="31" t="s">
        <v>6</v>
      </c>
      <c r="D702" s="31">
        <v>840</v>
      </c>
      <c r="E702" s="31">
        <v>83</v>
      </c>
      <c r="F702" s="31">
        <v>69720</v>
      </c>
      <c r="G702" s="31">
        <v>82269.600000000006</v>
      </c>
      <c r="H702" s="31">
        <v>12549.6</v>
      </c>
      <c r="I702" s="31" t="s">
        <v>6</v>
      </c>
    </row>
    <row r="703" spans="1:9" x14ac:dyDescent="0.25">
      <c r="A703" s="32">
        <v>45822</v>
      </c>
      <c r="B703" s="31" t="s">
        <v>125</v>
      </c>
      <c r="C703" s="31" t="s">
        <v>6</v>
      </c>
      <c r="D703" s="31">
        <v>2315</v>
      </c>
      <c r="E703" s="31">
        <v>71</v>
      </c>
      <c r="F703" s="31">
        <v>164365</v>
      </c>
      <c r="G703" s="31">
        <v>193950.7</v>
      </c>
      <c r="H703" s="31">
        <v>29585.699999999997</v>
      </c>
      <c r="I703" s="31" t="s">
        <v>6</v>
      </c>
    </row>
    <row r="704" spans="1:9" x14ac:dyDescent="0.25">
      <c r="A704" s="32">
        <v>45824</v>
      </c>
      <c r="B704" s="31" t="s">
        <v>119</v>
      </c>
      <c r="C704" s="31" t="s">
        <v>6</v>
      </c>
      <c r="D704" s="31">
        <v>1000</v>
      </c>
      <c r="E704" s="31">
        <v>158</v>
      </c>
      <c r="F704" s="31">
        <v>158000</v>
      </c>
      <c r="G704" s="31">
        <v>186440</v>
      </c>
      <c r="H704" s="31">
        <v>28440</v>
      </c>
      <c r="I704" s="31" t="s">
        <v>6</v>
      </c>
    </row>
    <row r="705" spans="1:9" x14ac:dyDescent="0.25">
      <c r="A705" s="32">
        <v>45824</v>
      </c>
      <c r="B705" s="31" t="s">
        <v>125</v>
      </c>
      <c r="C705" s="31" t="s">
        <v>6</v>
      </c>
      <c r="D705" s="31">
        <v>2325</v>
      </c>
      <c r="E705" s="31">
        <v>71</v>
      </c>
      <c r="F705" s="31">
        <v>165075</v>
      </c>
      <c r="G705" s="31">
        <v>194788.5</v>
      </c>
      <c r="H705" s="31">
        <v>29713.5</v>
      </c>
      <c r="I705" s="31" t="s">
        <v>6</v>
      </c>
    </row>
    <row r="706" spans="1:9" x14ac:dyDescent="0.25">
      <c r="A706" s="32">
        <v>45825</v>
      </c>
      <c r="B706" s="31" t="s">
        <v>128</v>
      </c>
      <c r="C706" s="31" t="s">
        <v>6</v>
      </c>
      <c r="D706" s="31">
        <v>11</v>
      </c>
      <c r="E706" s="31">
        <v>247.09</v>
      </c>
      <c r="F706" s="31">
        <v>2718</v>
      </c>
      <c r="G706" s="31">
        <v>3207.24</v>
      </c>
      <c r="H706" s="31">
        <v>489.24</v>
      </c>
      <c r="I706" s="31" t="s">
        <v>6</v>
      </c>
    </row>
    <row r="707" spans="1:9" x14ac:dyDescent="0.25">
      <c r="A707" s="32">
        <v>45826</v>
      </c>
      <c r="B707" s="31" t="s">
        <v>123</v>
      </c>
      <c r="C707" s="31" t="s">
        <v>6</v>
      </c>
      <c r="D707" s="31">
        <v>100</v>
      </c>
      <c r="E707" s="31">
        <v>269</v>
      </c>
      <c r="F707" s="31">
        <v>26900</v>
      </c>
      <c r="G707" s="31">
        <v>31742</v>
      </c>
      <c r="H707" s="31">
        <v>4842</v>
      </c>
      <c r="I707" s="31" t="s">
        <v>6</v>
      </c>
    </row>
    <row r="708" spans="1:9" x14ac:dyDescent="0.25">
      <c r="A708" s="32">
        <v>45826</v>
      </c>
      <c r="B708" s="31" t="s">
        <v>125</v>
      </c>
      <c r="C708" s="31" t="s">
        <v>6</v>
      </c>
      <c r="D708" s="31">
        <v>2483</v>
      </c>
      <c r="E708" s="31">
        <v>71</v>
      </c>
      <c r="F708" s="31">
        <v>176293</v>
      </c>
      <c r="G708" s="31">
        <v>208025.74</v>
      </c>
      <c r="H708" s="31">
        <v>31732.739999999998</v>
      </c>
      <c r="I708" s="31" t="s">
        <v>6</v>
      </c>
    </row>
    <row r="709" spans="1:9" x14ac:dyDescent="0.25">
      <c r="A709" s="32">
        <v>45828</v>
      </c>
      <c r="B709" s="31" t="s">
        <v>124</v>
      </c>
      <c r="C709" s="31" t="s">
        <v>6</v>
      </c>
      <c r="D709" s="31">
        <v>1050</v>
      </c>
      <c r="E709" s="31">
        <v>58</v>
      </c>
      <c r="F709" s="31">
        <v>60900</v>
      </c>
      <c r="G709" s="31">
        <v>71862</v>
      </c>
      <c r="H709" s="31">
        <v>10962</v>
      </c>
      <c r="I709" s="31" t="s">
        <v>6</v>
      </c>
    </row>
    <row r="710" spans="1:9" x14ac:dyDescent="0.25">
      <c r="A710" s="32">
        <v>45831</v>
      </c>
      <c r="B710" s="31" t="s">
        <v>105</v>
      </c>
      <c r="C710" s="31" t="s">
        <v>6</v>
      </c>
      <c r="D710" s="31">
        <v>307</v>
      </c>
      <c r="E710" s="31">
        <v>189.7</v>
      </c>
      <c r="F710" s="31">
        <v>58237.9</v>
      </c>
      <c r="G710" s="31">
        <v>68720.722000000009</v>
      </c>
      <c r="H710" s="31">
        <v>10482.822</v>
      </c>
      <c r="I710" s="31" t="s">
        <v>6</v>
      </c>
    </row>
    <row r="711" spans="1:9" x14ac:dyDescent="0.25">
      <c r="A711" s="32">
        <v>45833</v>
      </c>
      <c r="B711" s="31" t="s">
        <v>128</v>
      </c>
      <c r="C711" s="31" t="s">
        <v>6</v>
      </c>
      <c r="D711" s="31">
        <v>420</v>
      </c>
      <c r="E711" s="31">
        <v>63</v>
      </c>
      <c r="F711" s="31">
        <v>26460</v>
      </c>
      <c r="G711" s="31">
        <v>31222.799999999999</v>
      </c>
      <c r="H711" s="31">
        <v>4762.8</v>
      </c>
      <c r="I711" s="31" t="s">
        <v>6</v>
      </c>
    </row>
    <row r="712" spans="1:9" x14ac:dyDescent="0.25">
      <c r="A712" s="32">
        <v>45834</v>
      </c>
      <c r="B712" s="31" t="s">
        <v>122</v>
      </c>
      <c r="C712" s="31" t="s">
        <v>6</v>
      </c>
      <c r="D712" s="31">
        <v>420</v>
      </c>
      <c r="E712" s="31">
        <v>63</v>
      </c>
      <c r="F712" s="31">
        <v>26460</v>
      </c>
      <c r="G712" s="31">
        <v>31222.799999999999</v>
      </c>
      <c r="H712" s="31">
        <v>4762.8</v>
      </c>
      <c r="I712" s="31" t="s">
        <v>6</v>
      </c>
    </row>
    <row r="713" spans="1:9" x14ac:dyDescent="0.25">
      <c r="A713" s="32">
        <v>45835</v>
      </c>
      <c r="B713" s="31" t="s">
        <v>118</v>
      </c>
      <c r="C713" s="31" t="s">
        <v>6</v>
      </c>
      <c r="D713" s="31">
        <v>2</v>
      </c>
      <c r="E713" s="31">
        <v>909.6</v>
      </c>
      <c r="F713" s="31">
        <v>1819.2</v>
      </c>
      <c r="G713" s="31">
        <v>2146.6559999999999</v>
      </c>
      <c r="H713" s="31">
        <v>327.45600000000002</v>
      </c>
      <c r="I713" s="31" t="s">
        <v>6</v>
      </c>
    </row>
    <row r="714" spans="1:9" x14ac:dyDescent="0.25">
      <c r="A714" s="32">
        <v>45835</v>
      </c>
      <c r="B714" s="31" t="s">
        <v>109</v>
      </c>
      <c r="C714" s="31" t="s">
        <v>6</v>
      </c>
      <c r="D714" s="31">
        <v>9450</v>
      </c>
      <c r="E714" s="31">
        <v>75</v>
      </c>
      <c r="F714" s="31">
        <v>708785.44</v>
      </c>
      <c r="G714" s="31">
        <v>836366.81919999991</v>
      </c>
      <c r="H714" s="31">
        <v>127581.37919999998</v>
      </c>
      <c r="I714" s="31" t="s">
        <v>6</v>
      </c>
    </row>
    <row r="715" spans="1:9" x14ac:dyDescent="0.25">
      <c r="A715" s="32">
        <v>45837</v>
      </c>
      <c r="B715" s="31" t="s">
        <v>128</v>
      </c>
      <c r="C715" s="31" t="s">
        <v>6</v>
      </c>
      <c r="D715" s="31">
        <v>4</v>
      </c>
      <c r="E715" s="31">
        <v>206.95</v>
      </c>
      <c r="F715" s="31">
        <v>827.8</v>
      </c>
      <c r="G715" s="31">
        <v>976.80399999999997</v>
      </c>
      <c r="H715" s="31">
        <v>149.00399999999999</v>
      </c>
      <c r="I715" s="31" t="s">
        <v>6</v>
      </c>
    </row>
    <row r="716" spans="1:9" x14ac:dyDescent="0.25">
      <c r="A716" s="32">
        <v>45838</v>
      </c>
      <c r="B716" s="31" t="s">
        <v>126</v>
      </c>
      <c r="C716" s="31" t="s">
        <v>6</v>
      </c>
      <c r="D716" s="31">
        <v>30</v>
      </c>
      <c r="E716" s="31">
        <v>280</v>
      </c>
      <c r="F716" s="31">
        <v>8400</v>
      </c>
      <c r="G716" s="31">
        <v>9912</v>
      </c>
      <c r="H716" s="31">
        <v>1512</v>
      </c>
      <c r="I716" s="31" t="s">
        <v>6</v>
      </c>
    </row>
    <row r="717" spans="1:9" x14ac:dyDescent="0.25">
      <c r="A717" s="32">
        <v>45838</v>
      </c>
      <c r="B717" s="31" t="s">
        <v>129</v>
      </c>
      <c r="C717" s="31" t="s">
        <v>6</v>
      </c>
      <c r="D717" s="31">
        <v>10780</v>
      </c>
      <c r="E717" s="31">
        <v>47.75</v>
      </c>
      <c r="F717" s="31">
        <v>514745</v>
      </c>
      <c r="G717" s="31">
        <v>607399.1</v>
      </c>
      <c r="H717" s="31">
        <v>92654.099999999991</v>
      </c>
      <c r="I717" s="31" t="s">
        <v>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591E0B-E221-4E59-882D-6F351916D97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PURCHASE DATA</vt:lpstr>
      <vt:lpstr>Sheet4</vt:lpstr>
      <vt:lpstr>power 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dc:creator>
  <cp:lastModifiedBy>User</cp:lastModifiedBy>
  <dcterms:created xsi:type="dcterms:W3CDTF">2015-06-05T18:17:20Z</dcterms:created>
  <dcterms:modified xsi:type="dcterms:W3CDTF">2025-09-13T10:13:48Z</dcterms:modified>
</cp:coreProperties>
</file>